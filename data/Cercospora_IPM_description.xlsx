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suagctr-my.sharepoint.com/personal/acerutti_agcenter_lsu_edu/Documents/Documents/GitHub/Cercospora_IPM/data/"/>
    </mc:Choice>
  </mc:AlternateContent>
  <xr:revisionPtr revIDLastSave="599" documentId="8_{B521CAD1-B04F-41B4-8C4D-BBC1E172B03C}" xr6:coauthVersionLast="47" xr6:coauthVersionMax="47" xr10:uidLastSave="{766216C1-6AD6-423A-BF2E-F2404380E4EB}"/>
  <bookViews>
    <workbookView xWindow="28680" yWindow="3495" windowWidth="29040" windowHeight="16440" activeTab="1" xr2:uid="{58E64BEA-56DB-4F46-BCEA-90D1CD645A95}"/>
  </bookViews>
  <sheets>
    <sheet name="IPM" sheetId="8" r:id="rId1"/>
    <sheet name="IPM23" sheetId="6" r:id="rId2"/>
    <sheet name="IPM24" sheetId="7" r:id="rId3"/>
    <sheet name="IPM25" sheetId="9" r:id="rId4"/>
  </sheets>
  <definedNames>
    <definedName name="_xlnm._FilterDatabase" localSheetId="0" hidden="1">IPM!$A$1:$V$616</definedName>
    <definedName name="_xlnm._FilterDatabase" localSheetId="1" hidden="1">'IPM23'!$A$1:$V$283</definedName>
    <definedName name="_xlnm._FilterDatabase" localSheetId="3" hidden="1">'IPM25'!$A$1:$V$112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9" i="8" l="1"/>
  <c r="Q344" i="8"/>
  <c r="Q612" i="8"/>
  <c r="S616" i="8"/>
  <c r="Q616" i="8"/>
  <c r="S615" i="8"/>
  <c r="Q615" i="8"/>
  <c r="S614" i="8"/>
  <c r="Q614" i="8"/>
  <c r="S613" i="8"/>
  <c r="Q613" i="8"/>
  <c r="S612" i="8"/>
  <c r="S611" i="8"/>
  <c r="Q611" i="8"/>
  <c r="S610" i="8"/>
  <c r="Q610" i="8"/>
  <c r="S609" i="8"/>
  <c r="Q609" i="8"/>
  <c r="S608" i="8"/>
  <c r="Q608" i="8"/>
  <c r="S607" i="8"/>
  <c r="Q607" i="8"/>
  <c r="S606" i="8"/>
  <c r="Q606" i="8"/>
  <c r="S605" i="8"/>
  <c r="Q605" i="8"/>
  <c r="S604" i="8"/>
  <c r="Q604" i="8"/>
  <c r="S603" i="8"/>
  <c r="Q603" i="8"/>
  <c r="S602" i="8"/>
  <c r="Q602" i="8"/>
  <c r="S601" i="8"/>
  <c r="Q601" i="8"/>
  <c r="S600" i="8"/>
  <c r="Q600" i="8"/>
  <c r="S599" i="8"/>
  <c r="Q599" i="8"/>
  <c r="S598" i="8"/>
  <c r="Q598" i="8"/>
  <c r="S597" i="8"/>
  <c r="Q597" i="8"/>
  <c r="S596" i="8"/>
  <c r="Q596" i="8"/>
  <c r="S595" i="8"/>
  <c r="Q595" i="8"/>
  <c r="S594" i="8"/>
  <c r="Q594" i="8"/>
  <c r="S593" i="8"/>
  <c r="Q593" i="8"/>
  <c r="S592" i="8"/>
  <c r="Q592" i="8"/>
  <c r="S591" i="8"/>
  <c r="Q591" i="8"/>
  <c r="S590" i="8"/>
  <c r="Q590" i="8"/>
  <c r="S589" i="8"/>
  <c r="Q589" i="8"/>
  <c r="S588" i="8"/>
  <c r="Q588" i="8"/>
  <c r="S587" i="8"/>
  <c r="Q587" i="8"/>
  <c r="S586" i="8"/>
  <c r="Q586" i="8"/>
  <c r="S585" i="8"/>
  <c r="Q585" i="8"/>
  <c r="S584" i="8"/>
  <c r="Q584" i="8"/>
  <c r="S583" i="8"/>
  <c r="Q583" i="8"/>
  <c r="S582" i="8"/>
  <c r="Q582" i="8"/>
  <c r="S581" i="8"/>
  <c r="Q581" i="8"/>
  <c r="S580" i="8"/>
  <c r="Q580" i="8"/>
  <c r="S579" i="8"/>
  <c r="Q579" i="8"/>
  <c r="S578" i="8"/>
  <c r="Q578" i="8"/>
  <c r="S577" i="8"/>
  <c r="Q577" i="8"/>
  <c r="S576" i="8"/>
  <c r="Q576" i="8"/>
  <c r="S575" i="8"/>
  <c r="Q575" i="8"/>
  <c r="S574" i="8"/>
  <c r="Q574" i="8"/>
  <c r="S573" i="8"/>
  <c r="Q573" i="8"/>
  <c r="S572" i="8"/>
  <c r="Q572" i="8"/>
  <c r="S571" i="8"/>
  <c r="Q571" i="8"/>
  <c r="S570" i="8"/>
  <c r="Q570" i="8"/>
  <c r="S569" i="8"/>
  <c r="Q569" i="8"/>
  <c r="S568" i="8"/>
  <c r="Q568" i="8"/>
  <c r="S567" i="8"/>
  <c r="Q567" i="8"/>
  <c r="S566" i="8"/>
  <c r="Q566" i="8"/>
  <c r="S565" i="8"/>
  <c r="Q565" i="8"/>
  <c r="S564" i="8"/>
  <c r="Q564" i="8"/>
  <c r="S563" i="8"/>
  <c r="Q563" i="8"/>
  <c r="S562" i="8"/>
  <c r="Q562" i="8"/>
  <c r="S561" i="8"/>
  <c r="Q561" i="8"/>
  <c r="S560" i="8"/>
  <c r="Q560" i="8"/>
  <c r="S559" i="8"/>
  <c r="Q559" i="8"/>
  <c r="S558" i="8"/>
  <c r="Q558" i="8"/>
  <c r="S557" i="8"/>
  <c r="Q557" i="8"/>
  <c r="S556" i="8"/>
  <c r="Q556" i="8"/>
  <c r="S555" i="8"/>
  <c r="Q555" i="8"/>
  <c r="S554" i="8"/>
  <c r="Q554" i="8"/>
  <c r="S553" i="8"/>
  <c r="Q553" i="8"/>
  <c r="S552" i="8"/>
  <c r="Q552" i="8"/>
  <c r="S551" i="8"/>
  <c r="Q551" i="8"/>
  <c r="S550" i="8"/>
  <c r="Q550" i="8"/>
  <c r="S549" i="8"/>
  <c r="Q549" i="8"/>
  <c r="S548" i="8"/>
  <c r="Q548" i="8"/>
  <c r="S547" i="8"/>
  <c r="Q547" i="8"/>
  <c r="S546" i="8"/>
  <c r="Q546" i="8"/>
  <c r="S545" i="8"/>
  <c r="Q545" i="8"/>
  <c r="S544" i="8"/>
  <c r="Q544" i="8"/>
  <c r="S543" i="8"/>
  <c r="Q543" i="8"/>
  <c r="S542" i="8"/>
  <c r="Q542" i="8"/>
  <c r="S541" i="8"/>
  <c r="Q541" i="8"/>
  <c r="S540" i="8"/>
  <c r="Q540" i="8"/>
  <c r="S539" i="8"/>
  <c r="Q539" i="8"/>
  <c r="S538" i="8"/>
  <c r="Q538" i="8"/>
  <c r="S537" i="8"/>
  <c r="Q537" i="8"/>
  <c r="S536" i="8"/>
  <c r="Q536" i="8"/>
  <c r="S535" i="8"/>
  <c r="Q535" i="8"/>
  <c r="S534" i="8"/>
  <c r="Q534" i="8"/>
  <c r="S533" i="8"/>
  <c r="Q533" i="8"/>
  <c r="S532" i="8"/>
  <c r="Q532" i="8"/>
  <c r="S531" i="8"/>
  <c r="Q531" i="8"/>
  <c r="S530" i="8"/>
  <c r="Q530" i="8"/>
  <c r="S529" i="8"/>
  <c r="Q529" i="8"/>
  <c r="S528" i="8"/>
  <c r="Q528" i="8"/>
  <c r="S527" i="8"/>
  <c r="Q527" i="8"/>
  <c r="S526" i="8"/>
  <c r="Q526" i="8"/>
  <c r="S525" i="8"/>
  <c r="Q525" i="8"/>
  <c r="S524" i="8"/>
  <c r="Q524" i="8"/>
  <c r="S523" i="8"/>
  <c r="Q523" i="8"/>
  <c r="S522" i="8"/>
  <c r="Q522" i="8"/>
  <c r="S521" i="8"/>
  <c r="Q521" i="8"/>
  <c r="S520" i="8"/>
  <c r="Q520" i="8"/>
  <c r="S519" i="8"/>
  <c r="Q519" i="8"/>
  <c r="S518" i="8"/>
  <c r="Q518" i="8"/>
  <c r="S517" i="8"/>
  <c r="Q517" i="8"/>
  <c r="S516" i="8"/>
  <c r="Q516" i="8"/>
  <c r="S515" i="8"/>
  <c r="Q515" i="8"/>
  <c r="S514" i="8"/>
  <c r="Q514" i="8"/>
  <c r="S513" i="8"/>
  <c r="Q513" i="8"/>
  <c r="S512" i="8"/>
  <c r="Q512" i="8"/>
  <c r="S511" i="8"/>
  <c r="Q511" i="8"/>
  <c r="S510" i="8"/>
  <c r="Q510" i="8"/>
  <c r="S509" i="8"/>
  <c r="Q509" i="8"/>
  <c r="S508" i="8"/>
  <c r="Q508" i="8"/>
  <c r="S507" i="8"/>
  <c r="Q507" i="8"/>
  <c r="S506" i="8"/>
  <c r="Q506" i="8"/>
  <c r="Q505" i="8"/>
  <c r="Q504" i="8"/>
  <c r="Q503" i="8"/>
  <c r="Q502" i="8"/>
  <c r="Q501" i="8"/>
  <c r="Q500" i="8"/>
  <c r="Q499" i="8"/>
  <c r="Q498" i="8"/>
  <c r="Q497" i="8"/>
  <c r="Q496" i="8"/>
  <c r="Q495" i="8"/>
  <c r="Q494" i="8"/>
  <c r="Q493" i="8"/>
  <c r="Q492" i="8"/>
  <c r="Q491" i="8"/>
  <c r="Q490" i="8"/>
  <c r="Q489" i="8"/>
  <c r="Q488" i="8"/>
  <c r="Q487" i="8"/>
  <c r="Q486" i="8"/>
  <c r="Q485" i="8"/>
  <c r="Q484" i="8"/>
  <c r="Q483" i="8"/>
  <c r="Q482" i="8"/>
  <c r="Q481" i="8"/>
  <c r="Q480" i="8"/>
  <c r="Q479" i="8"/>
  <c r="Q478" i="8"/>
  <c r="Q477" i="8"/>
  <c r="Q476" i="8"/>
  <c r="Q475" i="8"/>
  <c r="Q474" i="8"/>
  <c r="Q473" i="8"/>
  <c r="Q472" i="8"/>
  <c r="Q471" i="8"/>
  <c r="Q470" i="8"/>
  <c r="Q469" i="8"/>
  <c r="Q468" i="8"/>
  <c r="Q467" i="8"/>
  <c r="Q466" i="8"/>
  <c r="Q465" i="8"/>
  <c r="Q464" i="8"/>
  <c r="Q463" i="8"/>
  <c r="Q462" i="8"/>
  <c r="Q461" i="8"/>
  <c r="Q460" i="8"/>
  <c r="Q459" i="8"/>
  <c r="Q458" i="8"/>
  <c r="Q457" i="8"/>
  <c r="Q456" i="8"/>
  <c r="Q455" i="8"/>
  <c r="Q454" i="8"/>
  <c r="Q453" i="8"/>
  <c r="Q452" i="8"/>
  <c r="Q451" i="8"/>
  <c r="Q450" i="8"/>
  <c r="Q449" i="8"/>
  <c r="Q448" i="8"/>
  <c r="Q447" i="8"/>
  <c r="Q446" i="8"/>
  <c r="Q445" i="8"/>
  <c r="Q444" i="8"/>
  <c r="Q443" i="8"/>
  <c r="Q442" i="8"/>
  <c r="Q441" i="8"/>
  <c r="Q440" i="8"/>
  <c r="Q439" i="8"/>
  <c r="Q438" i="8"/>
  <c r="Q437" i="8"/>
  <c r="Q436" i="8"/>
  <c r="Q435" i="8"/>
  <c r="Q434" i="8"/>
  <c r="Q433" i="8"/>
  <c r="Q432" i="8"/>
  <c r="Q431" i="8"/>
  <c r="Q430" i="8"/>
  <c r="Q429" i="8"/>
  <c r="Q428" i="8"/>
  <c r="Q427" i="8"/>
  <c r="Q426" i="8"/>
  <c r="Q425" i="8"/>
  <c r="Q424" i="8"/>
  <c r="Q423" i="8"/>
  <c r="Q422" i="8"/>
  <c r="Q421" i="8"/>
  <c r="Q420" i="8"/>
  <c r="Q419" i="8"/>
  <c r="Q418" i="8"/>
  <c r="Q417" i="8"/>
  <c r="Q416" i="8"/>
  <c r="Q415" i="8"/>
  <c r="Q414" i="8"/>
  <c r="Q413" i="8"/>
  <c r="Q412" i="8"/>
  <c r="Q411" i="8"/>
  <c r="Q410" i="8"/>
  <c r="Q409" i="8"/>
  <c r="Q408" i="8"/>
  <c r="Q407" i="8"/>
  <c r="Q406" i="8"/>
  <c r="Q405" i="8"/>
  <c r="Q404" i="8"/>
  <c r="Q403" i="8"/>
  <c r="Q402" i="8"/>
  <c r="Q401" i="8"/>
  <c r="Q400" i="8"/>
  <c r="Q399" i="8"/>
  <c r="Q398" i="8"/>
  <c r="Q397" i="8"/>
  <c r="Q396" i="8"/>
  <c r="Q395" i="8"/>
  <c r="Q394" i="8"/>
  <c r="Q393" i="8"/>
  <c r="Q392" i="8"/>
  <c r="Q391" i="8"/>
  <c r="Q390" i="8"/>
  <c r="Q389" i="8"/>
  <c r="Q388" i="8"/>
  <c r="Q387" i="8"/>
  <c r="Q386" i="8"/>
  <c r="Q385" i="8"/>
  <c r="Q384" i="8"/>
  <c r="Q383" i="8"/>
  <c r="Q382" i="8"/>
  <c r="Q381" i="8"/>
  <c r="Q380" i="8"/>
  <c r="Q379" i="8"/>
  <c r="Q378" i="8"/>
  <c r="Q377" i="8"/>
  <c r="Q376" i="8"/>
  <c r="Q375" i="8"/>
  <c r="Q374" i="8"/>
  <c r="Q373" i="8"/>
  <c r="Q372" i="8"/>
  <c r="Q371" i="8"/>
  <c r="Q370" i="8"/>
  <c r="Q369" i="8"/>
  <c r="Q368" i="8"/>
  <c r="Q367" i="8"/>
  <c r="Q366" i="8"/>
  <c r="Q365" i="8"/>
  <c r="Q364" i="8"/>
  <c r="Q363" i="8"/>
  <c r="Q362" i="8"/>
  <c r="Q361" i="8"/>
  <c r="Q360" i="8"/>
  <c r="Q359" i="8"/>
  <c r="Q358" i="8"/>
  <c r="Q357" i="8"/>
  <c r="Q356" i="8"/>
  <c r="Q355" i="8"/>
  <c r="Q354" i="8"/>
  <c r="Q353" i="8"/>
  <c r="Q352" i="8"/>
  <c r="Q351" i="8"/>
  <c r="Q350" i="8"/>
  <c r="Q349" i="8"/>
  <c r="Q348" i="8"/>
  <c r="Q347" i="8"/>
  <c r="Q346" i="8"/>
  <c r="Q345" i="8"/>
  <c r="Q343" i="8"/>
  <c r="Q342" i="8"/>
  <c r="Q341" i="8"/>
  <c r="Q340" i="8"/>
  <c r="Q338" i="8"/>
  <c r="Q337" i="8"/>
  <c r="Q336" i="8"/>
  <c r="Q335" i="8"/>
  <c r="Q334" i="8"/>
  <c r="Q333" i="8"/>
  <c r="Q332" i="8"/>
  <c r="Q331" i="8"/>
  <c r="Q330" i="8"/>
  <c r="Q329" i="8"/>
  <c r="Q328" i="8"/>
  <c r="Q327" i="8"/>
  <c r="Q326" i="8"/>
  <c r="Q325" i="8"/>
  <c r="Q324" i="8"/>
  <c r="Q323" i="8"/>
  <c r="Q322" i="8"/>
  <c r="Q321" i="8"/>
  <c r="Q320" i="8"/>
  <c r="Q319" i="8"/>
  <c r="Q318" i="8"/>
  <c r="Q317" i="8"/>
  <c r="Q316" i="8"/>
  <c r="Q315" i="8"/>
  <c r="Q314" i="8"/>
  <c r="Q313" i="8"/>
  <c r="Q312" i="8"/>
  <c r="Q311" i="8"/>
  <c r="Q310" i="8"/>
  <c r="Q309" i="8"/>
  <c r="Q308" i="8"/>
  <c r="Q307" i="8"/>
  <c r="Q306" i="8"/>
  <c r="Q305" i="8"/>
  <c r="R305" i="8" s="1"/>
  <c r="S305" i="8" s="1"/>
  <c r="Q304" i="8"/>
  <c r="R304" i="8" s="1"/>
  <c r="S304" i="8" s="1"/>
  <c r="Q303" i="8"/>
  <c r="R303" i="8" s="1"/>
  <c r="S303" i="8" s="1"/>
  <c r="Q302" i="8"/>
  <c r="R302" i="8" s="1"/>
  <c r="S302" i="8" s="1"/>
  <c r="Q301" i="8"/>
  <c r="R301" i="8" s="1"/>
  <c r="S301" i="8" s="1"/>
  <c r="Q300" i="8"/>
  <c r="R300" i="8" s="1"/>
  <c r="S300" i="8" s="1"/>
  <c r="Q299" i="8"/>
  <c r="R299" i="8" s="1"/>
  <c r="S299" i="8" s="1"/>
  <c r="Q298" i="8"/>
  <c r="R298" i="8" s="1"/>
  <c r="S298" i="8" s="1"/>
  <c r="Q297" i="8"/>
  <c r="R297" i="8" s="1"/>
  <c r="S297" i="8" s="1"/>
  <c r="Q296" i="8"/>
  <c r="R296" i="8" s="1"/>
  <c r="S296" i="8" s="1"/>
  <c r="Q295" i="8"/>
  <c r="R295" i="8" s="1"/>
  <c r="S295" i="8" s="1"/>
  <c r="Q294" i="8"/>
  <c r="R294" i="8" s="1"/>
  <c r="S294" i="8" s="1"/>
  <c r="Q293" i="8"/>
  <c r="R293" i="8" s="1"/>
  <c r="S293" i="8" s="1"/>
  <c r="Q292" i="8"/>
  <c r="R292" i="8" s="1"/>
  <c r="S292" i="8" s="1"/>
  <c r="Q291" i="8"/>
  <c r="R291" i="8" s="1"/>
  <c r="S291" i="8" s="1"/>
  <c r="Q290" i="8"/>
  <c r="R290" i="8" s="1"/>
  <c r="S290" i="8" s="1"/>
  <c r="Q289" i="8"/>
  <c r="R289" i="8" s="1"/>
  <c r="S289" i="8" s="1"/>
  <c r="Q288" i="8"/>
  <c r="R288" i="8" s="1"/>
  <c r="S288" i="8" s="1"/>
  <c r="Q287" i="8"/>
  <c r="R287" i="8" s="1"/>
  <c r="S287" i="8" s="1"/>
  <c r="Q286" i="8"/>
  <c r="R286" i="8" s="1"/>
  <c r="S286" i="8" s="1"/>
  <c r="Q285" i="8"/>
  <c r="R285" i="8" s="1"/>
  <c r="S285" i="8" s="1"/>
  <c r="Q284" i="8"/>
  <c r="R284" i="8" s="1"/>
  <c r="S284" i="8" s="1"/>
  <c r="Q283" i="8"/>
  <c r="R283" i="8" s="1"/>
  <c r="S283" i="8" s="1"/>
  <c r="Q282" i="8"/>
  <c r="R282" i="8" s="1"/>
  <c r="S282" i="8" s="1"/>
  <c r="Q281" i="8"/>
  <c r="R281" i="8" s="1"/>
  <c r="S281" i="8" s="1"/>
  <c r="Q280" i="8"/>
  <c r="R280" i="8" s="1"/>
  <c r="S280" i="8" s="1"/>
  <c r="Q279" i="8"/>
  <c r="R279" i="8" s="1"/>
  <c r="S279" i="8" s="1"/>
  <c r="Q278" i="8"/>
  <c r="R278" i="8" s="1"/>
  <c r="S278" i="8" s="1"/>
  <c r="Q277" i="8"/>
  <c r="R277" i="8" s="1"/>
  <c r="S277" i="8" s="1"/>
  <c r="Q276" i="8"/>
  <c r="R276" i="8" s="1"/>
  <c r="S276" i="8" s="1"/>
  <c r="Q275" i="8"/>
  <c r="R275" i="8" s="1"/>
  <c r="S275" i="8" s="1"/>
  <c r="Q274" i="8"/>
  <c r="R274" i="8" s="1"/>
  <c r="S274" i="8" s="1"/>
  <c r="Q273" i="8"/>
  <c r="R273" i="8" s="1"/>
  <c r="S273" i="8" s="1"/>
  <c r="Q272" i="8"/>
  <c r="R272" i="8" s="1"/>
  <c r="S272" i="8" s="1"/>
  <c r="Q271" i="8"/>
  <c r="R271" i="8" s="1"/>
  <c r="S271" i="8" s="1"/>
  <c r="Q270" i="8"/>
  <c r="R270" i="8" s="1"/>
  <c r="S270" i="8" s="1"/>
  <c r="Q269" i="8"/>
  <c r="R269" i="8" s="1"/>
  <c r="S269" i="8" s="1"/>
  <c r="Q268" i="8"/>
  <c r="R268" i="8" s="1"/>
  <c r="S268" i="8" s="1"/>
  <c r="Q267" i="8"/>
  <c r="R267" i="8" s="1"/>
  <c r="S267" i="8" s="1"/>
  <c r="Q266" i="8"/>
  <c r="R266" i="8" s="1"/>
  <c r="S266" i="8" s="1"/>
  <c r="Q265" i="8"/>
  <c r="R265" i="8" s="1"/>
  <c r="S265" i="8" s="1"/>
  <c r="Q264" i="8"/>
  <c r="R264" i="8" s="1"/>
  <c r="S264" i="8" s="1"/>
  <c r="Q263" i="8"/>
  <c r="R263" i="8" s="1"/>
  <c r="S263" i="8" s="1"/>
  <c r="Q262" i="8"/>
  <c r="R262" i="8" s="1"/>
  <c r="S262" i="8" s="1"/>
  <c r="Q261" i="8"/>
  <c r="R261" i="8" s="1"/>
  <c r="S261" i="8" s="1"/>
  <c r="Q260" i="8"/>
  <c r="R260" i="8" s="1"/>
  <c r="S260" i="8" s="1"/>
  <c r="Q259" i="8"/>
  <c r="R259" i="8" s="1"/>
  <c r="S259" i="8" s="1"/>
  <c r="Q258" i="8"/>
  <c r="R258" i="8" s="1"/>
  <c r="S258" i="8" s="1"/>
  <c r="Q257" i="8"/>
  <c r="R257" i="8" s="1"/>
  <c r="S257" i="8" s="1"/>
  <c r="Q256" i="8"/>
  <c r="R256" i="8" s="1"/>
  <c r="S256" i="8" s="1"/>
  <c r="Q255" i="8"/>
  <c r="R255" i="8" s="1"/>
  <c r="S255" i="8" s="1"/>
  <c r="Q254" i="8"/>
  <c r="R254" i="8" s="1"/>
  <c r="S254" i="8" s="1"/>
  <c r="Q253" i="8"/>
  <c r="R253" i="8" s="1"/>
  <c r="S253" i="8" s="1"/>
  <c r="Q252" i="8"/>
  <c r="R252" i="8" s="1"/>
  <c r="S252" i="8" s="1"/>
  <c r="Q251" i="8"/>
  <c r="R251" i="8" s="1"/>
  <c r="S251" i="8" s="1"/>
  <c r="Q250" i="8"/>
  <c r="R250" i="8" s="1"/>
  <c r="S250" i="8" s="1"/>
  <c r="Q249" i="8"/>
  <c r="R249" i="8" s="1"/>
  <c r="S249" i="8" s="1"/>
  <c r="Q248" i="8"/>
  <c r="R248" i="8" s="1"/>
  <c r="S248" i="8" s="1"/>
  <c r="Q247" i="8"/>
  <c r="R247" i="8" s="1"/>
  <c r="S247" i="8" s="1"/>
  <c r="Q246" i="8"/>
  <c r="R246" i="8" s="1"/>
  <c r="S246" i="8" s="1"/>
  <c r="Q245" i="8"/>
  <c r="R245" i="8" s="1"/>
  <c r="S245" i="8" s="1"/>
  <c r="Q244" i="8"/>
  <c r="R244" i="8" s="1"/>
  <c r="S244" i="8" s="1"/>
  <c r="Q243" i="8"/>
  <c r="R243" i="8" s="1"/>
  <c r="S243" i="8" s="1"/>
  <c r="Q242" i="8"/>
  <c r="R242" i="8" s="1"/>
  <c r="S242" i="8" s="1"/>
  <c r="Q241" i="8"/>
  <c r="R241" i="8" s="1"/>
  <c r="S241" i="8" s="1"/>
  <c r="Q240" i="8"/>
  <c r="R240" i="8" s="1"/>
  <c r="S240" i="8" s="1"/>
  <c r="Q239" i="8"/>
  <c r="R239" i="8" s="1"/>
  <c r="S239" i="8" s="1"/>
  <c r="Q238" i="8"/>
  <c r="R238" i="8" s="1"/>
  <c r="S238" i="8" s="1"/>
  <c r="Q237" i="8"/>
  <c r="R237" i="8" s="1"/>
  <c r="S237" i="8" s="1"/>
  <c r="Q236" i="8"/>
  <c r="R236" i="8" s="1"/>
  <c r="S236" i="8" s="1"/>
  <c r="Q235" i="8"/>
  <c r="R235" i="8" s="1"/>
  <c r="S235" i="8" s="1"/>
  <c r="Q234" i="8"/>
  <c r="R234" i="8" s="1"/>
  <c r="S234" i="8" s="1"/>
  <c r="Q233" i="8"/>
  <c r="R233" i="8" s="1"/>
  <c r="S233" i="8" s="1"/>
  <c r="Q232" i="8"/>
  <c r="R232" i="8" s="1"/>
  <c r="S232" i="8" s="1"/>
  <c r="Q231" i="8"/>
  <c r="R231" i="8" s="1"/>
  <c r="S231" i="8" s="1"/>
  <c r="Q230" i="8"/>
  <c r="R230" i="8" s="1"/>
  <c r="S230" i="8" s="1"/>
  <c r="Q229" i="8"/>
  <c r="R229" i="8" s="1"/>
  <c r="S229" i="8" s="1"/>
  <c r="Q228" i="8"/>
  <c r="R228" i="8" s="1"/>
  <c r="S228" i="8" s="1"/>
  <c r="Q227" i="8"/>
  <c r="R227" i="8" s="1"/>
  <c r="S227" i="8" s="1"/>
  <c r="Q226" i="8"/>
  <c r="R226" i="8" s="1"/>
  <c r="S226" i="8" s="1"/>
  <c r="Q225" i="8"/>
  <c r="R225" i="8" s="1"/>
  <c r="S225" i="8" s="1"/>
  <c r="Q224" i="8"/>
  <c r="R224" i="8" s="1"/>
  <c r="S224" i="8" s="1"/>
  <c r="Q223" i="8"/>
  <c r="R223" i="8" s="1"/>
  <c r="S223" i="8" s="1"/>
  <c r="Q222" i="8"/>
  <c r="R222" i="8" s="1"/>
  <c r="S222" i="8" s="1"/>
  <c r="Q221" i="8"/>
  <c r="R221" i="8" s="1"/>
  <c r="S221" i="8" s="1"/>
  <c r="Q220" i="8"/>
  <c r="R220" i="8" s="1"/>
  <c r="S220" i="8" s="1"/>
  <c r="Q219" i="8"/>
  <c r="R219" i="8" s="1"/>
  <c r="S219" i="8" s="1"/>
  <c r="Q218" i="8"/>
  <c r="R218" i="8" s="1"/>
  <c r="S218" i="8" s="1"/>
  <c r="Q217" i="8"/>
  <c r="R217" i="8" s="1"/>
  <c r="S217" i="8" s="1"/>
  <c r="Q216" i="8"/>
  <c r="R216" i="8" s="1"/>
  <c r="S216" i="8" s="1"/>
  <c r="Q215" i="8"/>
  <c r="R215" i="8" s="1"/>
  <c r="S215" i="8" s="1"/>
  <c r="Q214" i="8"/>
  <c r="R214" i="8" s="1"/>
  <c r="S214" i="8" s="1"/>
  <c r="Q213" i="8"/>
  <c r="R213" i="8" s="1"/>
  <c r="S213" i="8" s="1"/>
  <c r="Q212" i="8"/>
  <c r="R212" i="8" s="1"/>
  <c r="S212" i="8" s="1"/>
  <c r="Q211" i="8"/>
  <c r="R211" i="8" s="1"/>
  <c r="S211" i="8" s="1"/>
  <c r="Q210" i="8"/>
  <c r="R210" i="8" s="1"/>
  <c r="S210" i="8" s="1"/>
  <c r="Q209" i="8"/>
  <c r="R209" i="8" s="1"/>
  <c r="S209" i="8" s="1"/>
  <c r="Q208" i="8"/>
  <c r="R208" i="8" s="1"/>
  <c r="S208" i="8" s="1"/>
  <c r="Q207" i="8"/>
  <c r="R207" i="8" s="1"/>
  <c r="S207" i="8" s="1"/>
  <c r="Q206" i="8"/>
  <c r="R206" i="8" s="1"/>
  <c r="S206" i="8" s="1"/>
  <c r="Q205" i="8"/>
  <c r="R205" i="8" s="1"/>
  <c r="S205" i="8" s="1"/>
  <c r="Q204" i="8"/>
  <c r="R204" i="8" s="1"/>
  <c r="S204" i="8" s="1"/>
  <c r="Q203" i="8"/>
  <c r="R203" i="8" s="1"/>
  <c r="S203" i="8" s="1"/>
  <c r="Q202" i="8"/>
  <c r="R202" i="8" s="1"/>
  <c r="S202" i="8" s="1"/>
  <c r="Q201" i="8"/>
  <c r="R201" i="8" s="1"/>
  <c r="S201" i="8" s="1"/>
  <c r="Q200" i="8"/>
  <c r="R200" i="8" s="1"/>
  <c r="S200" i="8" s="1"/>
  <c r="Q199" i="8"/>
  <c r="R199" i="8" s="1"/>
  <c r="S199" i="8" s="1"/>
  <c r="Q198" i="8"/>
  <c r="R198" i="8" s="1"/>
  <c r="S198" i="8" s="1"/>
  <c r="Q197" i="8"/>
  <c r="R197" i="8" s="1"/>
  <c r="S197" i="8" s="1"/>
  <c r="Q196" i="8"/>
  <c r="R196" i="8" s="1"/>
  <c r="S196" i="8" s="1"/>
  <c r="Q195" i="8"/>
  <c r="R195" i="8" s="1"/>
  <c r="S195" i="8" s="1"/>
  <c r="Q194" i="8"/>
  <c r="R194" i="8" s="1"/>
  <c r="S194" i="8" s="1"/>
  <c r="Q193" i="8"/>
  <c r="R193" i="8" s="1"/>
  <c r="S193" i="8" s="1"/>
  <c r="Q192" i="8"/>
  <c r="R192" i="8" s="1"/>
  <c r="S192" i="8" s="1"/>
  <c r="Q191" i="8"/>
  <c r="R191" i="8" s="1"/>
  <c r="S191" i="8" s="1"/>
  <c r="Q190" i="8"/>
  <c r="R190" i="8" s="1"/>
  <c r="S190" i="8" s="1"/>
  <c r="Q189" i="8"/>
  <c r="R189" i="8" s="1"/>
  <c r="S189" i="8" s="1"/>
  <c r="Q188" i="8"/>
  <c r="R188" i="8" s="1"/>
  <c r="S188" i="8" s="1"/>
  <c r="Q187" i="8"/>
  <c r="R187" i="8" s="1"/>
  <c r="S187" i="8" s="1"/>
  <c r="Q186" i="8"/>
  <c r="R186" i="8" s="1"/>
  <c r="S186" i="8" s="1"/>
  <c r="Q185" i="8"/>
  <c r="R185" i="8" s="1"/>
  <c r="S185" i="8" s="1"/>
  <c r="Q184" i="8"/>
  <c r="R184" i="8" s="1"/>
  <c r="S184" i="8" s="1"/>
  <c r="Q183" i="8"/>
  <c r="R183" i="8" s="1"/>
  <c r="S183" i="8" s="1"/>
  <c r="Q182" i="8"/>
  <c r="R182" i="8" s="1"/>
  <c r="S182" i="8" s="1"/>
  <c r="Q181" i="8"/>
  <c r="R181" i="8" s="1"/>
  <c r="S181" i="8" s="1"/>
  <c r="Q180" i="8"/>
  <c r="R180" i="8" s="1"/>
  <c r="S180" i="8" s="1"/>
  <c r="Q179" i="8"/>
  <c r="R179" i="8" s="1"/>
  <c r="S179" i="8" s="1"/>
  <c r="Q178" i="8"/>
  <c r="R178" i="8" s="1"/>
  <c r="S178" i="8" s="1"/>
  <c r="Q177" i="8"/>
  <c r="R177" i="8" s="1"/>
  <c r="S177" i="8" s="1"/>
  <c r="Q176" i="8"/>
  <c r="R176" i="8" s="1"/>
  <c r="S176" i="8" s="1"/>
  <c r="Q175" i="8"/>
  <c r="R175" i="8" s="1"/>
  <c r="S175" i="8" s="1"/>
  <c r="Q174" i="8"/>
  <c r="R174" i="8" s="1"/>
  <c r="S174" i="8" s="1"/>
  <c r="Q173" i="8"/>
  <c r="R173" i="8" s="1"/>
  <c r="S173" i="8" s="1"/>
  <c r="Q172" i="8"/>
  <c r="R172" i="8" s="1"/>
  <c r="S172" i="8" s="1"/>
  <c r="Q171" i="8"/>
  <c r="R171" i="8" s="1"/>
  <c r="S171" i="8" s="1"/>
  <c r="Q170" i="8"/>
  <c r="R170" i="8" s="1"/>
  <c r="S170" i="8" s="1"/>
  <c r="Q169" i="8"/>
  <c r="R169" i="8" s="1"/>
  <c r="S169" i="8" s="1"/>
  <c r="Q168" i="8"/>
  <c r="R168" i="8" s="1"/>
  <c r="S168" i="8" s="1"/>
  <c r="Q167" i="8"/>
  <c r="R167" i="8" s="1"/>
  <c r="S167" i="8" s="1"/>
  <c r="Q166" i="8"/>
  <c r="R166" i="8" s="1"/>
  <c r="S166" i="8" s="1"/>
  <c r="Q165" i="8"/>
  <c r="R165" i="8" s="1"/>
  <c r="S165" i="8" s="1"/>
  <c r="Q164" i="8"/>
  <c r="R164" i="8" s="1"/>
  <c r="S164" i="8" s="1"/>
  <c r="Q163" i="8"/>
  <c r="R163" i="8" s="1"/>
  <c r="S163" i="8" s="1"/>
  <c r="Q162" i="8"/>
  <c r="R162" i="8" s="1"/>
  <c r="S162" i="8" s="1"/>
  <c r="Q161" i="8"/>
  <c r="R161" i="8" s="1"/>
  <c r="S161" i="8" s="1"/>
  <c r="Q160" i="8"/>
  <c r="R160" i="8" s="1"/>
  <c r="S160" i="8" s="1"/>
  <c r="Q159" i="8"/>
  <c r="R159" i="8" s="1"/>
  <c r="S159" i="8" s="1"/>
  <c r="Q158" i="8"/>
  <c r="R158" i="8" s="1"/>
  <c r="S158" i="8" s="1"/>
  <c r="Q157" i="8"/>
  <c r="R157" i="8" s="1"/>
  <c r="S157" i="8" s="1"/>
  <c r="Q156" i="8"/>
  <c r="R156" i="8" s="1"/>
  <c r="S156" i="8" s="1"/>
  <c r="Q155" i="8"/>
  <c r="R155" i="8" s="1"/>
  <c r="S155" i="8" s="1"/>
  <c r="Q154" i="8"/>
  <c r="R154" i="8" s="1"/>
  <c r="S154" i="8" s="1"/>
  <c r="Q153" i="8"/>
  <c r="R153" i="8" s="1"/>
  <c r="S153" i="8" s="1"/>
  <c r="Q152" i="8"/>
  <c r="R152" i="8" s="1"/>
  <c r="S152" i="8" s="1"/>
  <c r="Q151" i="8"/>
  <c r="R151" i="8" s="1"/>
  <c r="S151" i="8" s="1"/>
  <c r="Q150" i="8"/>
  <c r="R150" i="8" s="1"/>
  <c r="S150" i="8" s="1"/>
  <c r="Q149" i="8"/>
  <c r="R149" i="8" s="1"/>
  <c r="S149" i="8" s="1"/>
  <c r="Q148" i="8"/>
  <c r="R148" i="8" s="1"/>
  <c r="S148" i="8" s="1"/>
  <c r="Q147" i="8"/>
  <c r="R147" i="8" s="1"/>
  <c r="S147" i="8" s="1"/>
  <c r="Q146" i="8"/>
  <c r="R146" i="8" s="1"/>
  <c r="S146" i="8" s="1"/>
  <c r="Q145" i="8"/>
  <c r="R145" i="8" s="1"/>
  <c r="S145" i="8" s="1"/>
  <c r="Q144" i="8"/>
  <c r="R144" i="8" s="1"/>
  <c r="S144" i="8" s="1"/>
  <c r="Q143" i="8"/>
  <c r="R143" i="8" s="1"/>
  <c r="S143" i="8" s="1"/>
  <c r="Q142" i="8"/>
  <c r="R142" i="8" s="1"/>
  <c r="S142" i="8" s="1"/>
  <c r="Q141" i="8"/>
  <c r="R141" i="8" s="1"/>
  <c r="S141" i="8" s="1"/>
  <c r="Q140" i="8"/>
  <c r="R140" i="8" s="1"/>
  <c r="S140" i="8" s="1"/>
  <c r="Q139" i="8"/>
  <c r="R139" i="8" s="1"/>
  <c r="S139" i="8" s="1"/>
  <c r="Q138" i="8"/>
  <c r="R138" i="8" s="1"/>
  <c r="S138" i="8" s="1"/>
  <c r="Q137" i="8"/>
  <c r="R137" i="8" s="1"/>
  <c r="S137" i="8" s="1"/>
  <c r="Q136" i="8"/>
  <c r="R136" i="8" s="1"/>
  <c r="S136" i="8" s="1"/>
  <c r="Q135" i="8"/>
  <c r="R135" i="8" s="1"/>
  <c r="S135" i="8" s="1"/>
  <c r="Q134" i="8"/>
  <c r="R134" i="8" s="1"/>
  <c r="S134" i="8" s="1"/>
  <c r="Q133" i="8"/>
  <c r="R133" i="8" s="1"/>
  <c r="S133" i="8" s="1"/>
  <c r="Q132" i="8"/>
  <c r="R132" i="8" s="1"/>
  <c r="S132" i="8" s="1"/>
  <c r="Q131" i="8"/>
  <c r="R131" i="8" s="1"/>
  <c r="S131" i="8" s="1"/>
  <c r="Q130" i="8"/>
  <c r="R130" i="8" s="1"/>
  <c r="S130" i="8" s="1"/>
  <c r="Q129" i="8"/>
  <c r="R129" i="8" s="1"/>
  <c r="S129" i="8" s="1"/>
  <c r="Q128" i="8"/>
  <c r="R128" i="8" s="1"/>
  <c r="S128" i="8" s="1"/>
  <c r="Q127" i="8"/>
  <c r="R127" i="8" s="1"/>
  <c r="S127" i="8" s="1"/>
  <c r="Q126" i="8"/>
  <c r="R126" i="8" s="1"/>
  <c r="S126" i="8" s="1"/>
  <c r="Q125" i="8"/>
  <c r="R125" i="8" s="1"/>
  <c r="S125" i="8" s="1"/>
  <c r="Q124" i="8"/>
  <c r="R124" i="8" s="1"/>
  <c r="S124" i="8" s="1"/>
  <c r="Q123" i="8"/>
  <c r="R123" i="8" s="1"/>
  <c r="S123" i="8" s="1"/>
  <c r="Q122" i="8"/>
  <c r="R122" i="8" s="1"/>
  <c r="S122" i="8" s="1"/>
  <c r="Q121" i="8"/>
  <c r="R121" i="8" s="1"/>
  <c r="S121" i="8" s="1"/>
  <c r="Q120" i="8"/>
  <c r="R120" i="8" s="1"/>
  <c r="S120" i="8" s="1"/>
  <c r="Q119" i="8"/>
  <c r="R119" i="8" s="1"/>
  <c r="S119" i="8" s="1"/>
  <c r="Q118" i="8"/>
  <c r="R118" i="8" s="1"/>
  <c r="S118" i="8" s="1"/>
  <c r="Q117" i="8"/>
  <c r="R117" i="8" s="1"/>
  <c r="S117" i="8" s="1"/>
  <c r="Q116" i="8"/>
  <c r="R116" i="8" s="1"/>
  <c r="S116" i="8" s="1"/>
  <c r="Q115" i="8"/>
  <c r="R115" i="8" s="1"/>
  <c r="S115" i="8" s="1"/>
  <c r="Q114" i="8"/>
  <c r="R114" i="8" s="1"/>
  <c r="S114" i="8" s="1"/>
  <c r="Q113" i="8"/>
  <c r="R113" i="8" s="1"/>
  <c r="S113" i="8" s="1"/>
  <c r="Q112" i="8"/>
  <c r="R112" i="8" s="1"/>
  <c r="S112" i="8" s="1"/>
  <c r="Q111" i="8"/>
  <c r="R111" i="8" s="1"/>
  <c r="S111" i="8" s="1"/>
  <c r="Q110" i="8"/>
  <c r="R110" i="8" s="1"/>
  <c r="S110" i="8" s="1"/>
  <c r="Q109" i="8"/>
  <c r="R109" i="8" s="1"/>
  <c r="S109" i="8" s="1"/>
  <c r="Q108" i="8"/>
  <c r="R108" i="8" s="1"/>
  <c r="S108" i="8" s="1"/>
  <c r="Q107" i="8"/>
  <c r="R107" i="8" s="1"/>
  <c r="S107" i="8" s="1"/>
  <c r="Q106" i="8"/>
  <c r="R106" i="8" s="1"/>
  <c r="S106" i="8" s="1"/>
  <c r="Q105" i="8"/>
  <c r="R105" i="8" s="1"/>
  <c r="S105" i="8" s="1"/>
  <c r="Q104" i="8"/>
  <c r="R104" i="8" s="1"/>
  <c r="S104" i="8" s="1"/>
  <c r="Q103" i="8"/>
  <c r="R103" i="8" s="1"/>
  <c r="S103" i="8" s="1"/>
  <c r="Q102" i="8"/>
  <c r="R102" i="8" s="1"/>
  <c r="S102" i="8" s="1"/>
  <c r="Q101" i="8"/>
  <c r="R101" i="8" s="1"/>
  <c r="S101" i="8" s="1"/>
  <c r="Q100" i="8"/>
  <c r="R100" i="8" s="1"/>
  <c r="S100" i="8" s="1"/>
  <c r="Q99" i="8"/>
  <c r="R99" i="8" s="1"/>
  <c r="S99" i="8" s="1"/>
  <c r="Q98" i="8"/>
  <c r="R98" i="8" s="1"/>
  <c r="S98" i="8" s="1"/>
  <c r="Q97" i="8"/>
  <c r="R97" i="8" s="1"/>
  <c r="S97" i="8" s="1"/>
  <c r="Q96" i="8"/>
  <c r="R96" i="8" s="1"/>
  <c r="S96" i="8" s="1"/>
  <c r="Q95" i="8"/>
  <c r="R95" i="8" s="1"/>
  <c r="S95" i="8" s="1"/>
  <c r="Q94" i="8"/>
  <c r="R94" i="8" s="1"/>
  <c r="S94" i="8" s="1"/>
  <c r="Q93" i="8"/>
  <c r="R93" i="8" s="1"/>
  <c r="S93" i="8" s="1"/>
  <c r="Q92" i="8"/>
  <c r="R92" i="8" s="1"/>
  <c r="S92" i="8" s="1"/>
  <c r="Q91" i="8"/>
  <c r="R91" i="8" s="1"/>
  <c r="S91" i="8" s="1"/>
  <c r="Q90" i="8"/>
  <c r="R90" i="8" s="1"/>
  <c r="S90" i="8" s="1"/>
  <c r="Q89" i="8"/>
  <c r="R89" i="8" s="1"/>
  <c r="S89" i="8" s="1"/>
  <c r="Q88" i="8"/>
  <c r="R88" i="8" s="1"/>
  <c r="S88" i="8" s="1"/>
  <c r="Q87" i="8"/>
  <c r="R87" i="8" s="1"/>
  <c r="S87" i="8" s="1"/>
  <c r="Q86" i="8"/>
  <c r="R86" i="8" s="1"/>
  <c r="S86" i="8" s="1"/>
  <c r="Q85" i="8"/>
  <c r="R85" i="8" s="1"/>
  <c r="S85" i="8" s="1"/>
  <c r="Q84" i="8"/>
  <c r="R84" i="8" s="1"/>
  <c r="S84" i="8" s="1"/>
  <c r="Q83" i="8"/>
  <c r="R83" i="8" s="1"/>
  <c r="S83" i="8" s="1"/>
  <c r="Q82" i="8"/>
  <c r="R82" i="8" s="1"/>
  <c r="S82" i="8" s="1"/>
  <c r="Q81" i="8"/>
  <c r="R81" i="8" s="1"/>
  <c r="S81" i="8" s="1"/>
  <c r="Q80" i="8"/>
  <c r="R80" i="8" s="1"/>
  <c r="S80" i="8" s="1"/>
  <c r="Q79" i="8"/>
  <c r="R79" i="8" s="1"/>
  <c r="S79" i="8" s="1"/>
  <c r="Q78" i="8"/>
  <c r="R78" i="8" s="1"/>
  <c r="S78" i="8" s="1"/>
  <c r="Q77" i="8"/>
  <c r="R77" i="8" s="1"/>
  <c r="S77" i="8" s="1"/>
  <c r="Q76" i="8"/>
  <c r="R76" i="8" s="1"/>
  <c r="S76" i="8" s="1"/>
  <c r="Q75" i="8"/>
  <c r="R75" i="8" s="1"/>
  <c r="S75" i="8" s="1"/>
  <c r="Q74" i="8"/>
  <c r="R74" i="8" s="1"/>
  <c r="S74" i="8" s="1"/>
  <c r="Q73" i="8"/>
  <c r="R73" i="8" s="1"/>
  <c r="S73" i="8" s="1"/>
  <c r="Q72" i="8"/>
  <c r="R72" i="8" s="1"/>
  <c r="S72" i="8" s="1"/>
  <c r="Q71" i="8"/>
  <c r="R71" i="8" s="1"/>
  <c r="S71" i="8" s="1"/>
  <c r="Q70" i="8"/>
  <c r="R70" i="8" s="1"/>
  <c r="S70" i="8" s="1"/>
  <c r="Q69" i="8"/>
  <c r="R69" i="8" s="1"/>
  <c r="S69" i="8" s="1"/>
  <c r="Q68" i="8"/>
  <c r="R68" i="8" s="1"/>
  <c r="S68" i="8" s="1"/>
  <c r="Q67" i="8"/>
  <c r="R67" i="8" s="1"/>
  <c r="S67" i="8" s="1"/>
  <c r="Q66" i="8"/>
  <c r="R66" i="8" s="1"/>
  <c r="S66" i="8" s="1"/>
  <c r="Q65" i="8"/>
  <c r="R65" i="8" s="1"/>
  <c r="S65" i="8" s="1"/>
  <c r="Q64" i="8"/>
  <c r="R64" i="8" s="1"/>
  <c r="S64" i="8" s="1"/>
  <c r="Q63" i="8"/>
  <c r="R63" i="8" s="1"/>
  <c r="S63" i="8" s="1"/>
  <c r="Q62" i="8"/>
  <c r="R62" i="8" s="1"/>
  <c r="S62" i="8" s="1"/>
  <c r="Q61" i="8"/>
  <c r="R61" i="8" s="1"/>
  <c r="S61" i="8" s="1"/>
  <c r="Q60" i="8"/>
  <c r="R60" i="8" s="1"/>
  <c r="S60" i="8" s="1"/>
  <c r="Q59" i="8"/>
  <c r="R59" i="8" s="1"/>
  <c r="S59" i="8" s="1"/>
  <c r="Q58" i="8"/>
  <c r="R58" i="8" s="1"/>
  <c r="S58" i="8" s="1"/>
  <c r="Q57" i="8"/>
  <c r="R57" i="8" s="1"/>
  <c r="S57" i="8" s="1"/>
  <c r="Q56" i="8"/>
  <c r="R56" i="8" s="1"/>
  <c r="S56" i="8" s="1"/>
  <c r="Q55" i="8"/>
  <c r="R55" i="8" s="1"/>
  <c r="S55" i="8" s="1"/>
  <c r="Q54" i="8"/>
  <c r="R54" i="8" s="1"/>
  <c r="S54" i="8" s="1"/>
  <c r="Q53" i="8"/>
  <c r="R53" i="8" s="1"/>
  <c r="S53" i="8" s="1"/>
  <c r="Q52" i="8"/>
  <c r="R52" i="8" s="1"/>
  <c r="S52" i="8" s="1"/>
  <c r="Q51" i="8"/>
  <c r="R51" i="8" s="1"/>
  <c r="S51" i="8" s="1"/>
  <c r="Q50" i="8"/>
  <c r="R50" i="8" s="1"/>
  <c r="S50" i="8" s="1"/>
  <c r="Q49" i="8"/>
  <c r="R49" i="8" s="1"/>
  <c r="S49" i="8" s="1"/>
  <c r="Q48" i="8"/>
  <c r="R48" i="8" s="1"/>
  <c r="S48" i="8" s="1"/>
  <c r="Q47" i="8"/>
  <c r="R47" i="8" s="1"/>
  <c r="S47" i="8" s="1"/>
  <c r="Q46" i="8"/>
  <c r="R46" i="8" s="1"/>
  <c r="S46" i="8" s="1"/>
  <c r="Q45" i="8"/>
  <c r="R45" i="8" s="1"/>
  <c r="S45" i="8" s="1"/>
  <c r="Q44" i="8"/>
  <c r="R44" i="8" s="1"/>
  <c r="S44" i="8" s="1"/>
  <c r="Q43" i="8"/>
  <c r="R43" i="8" s="1"/>
  <c r="S43" i="8" s="1"/>
  <c r="Q42" i="8"/>
  <c r="R42" i="8" s="1"/>
  <c r="S42" i="8" s="1"/>
  <c r="Q41" i="8"/>
  <c r="R41" i="8" s="1"/>
  <c r="S41" i="8" s="1"/>
  <c r="Q40" i="8"/>
  <c r="R40" i="8" s="1"/>
  <c r="S40" i="8" s="1"/>
  <c r="Q39" i="8"/>
  <c r="R39" i="8" s="1"/>
  <c r="S39" i="8" s="1"/>
  <c r="Q38" i="8"/>
  <c r="R38" i="8" s="1"/>
  <c r="S38" i="8" s="1"/>
  <c r="Q37" i="8"/>
  <c r="R37" i="8" s="1"/>
  <c r="S37" i="8" s="1"/>
  <c r="Q36" i="8"/>
  <c r="R36" i="8" s="1"/>
  <c r="S36" i="8" s="1"/>
  <c r="Q35" i="8"/>
  <c r="R35" i="8" s="1"/>
  <c r="S35" i="8" s="1"/>
  <c r="Q34" i="8"/>
  <c r="R34" i="8" s="1"/>
  <c r="S34" i="8" s="1"/>
  <c r="Q33" i="8"/>
  <c r="R33" i="8" s="1"/>
  <c r="S33" i="8" s="1"/>
  <c r="Q32" i="8"/>
  <c r="R32" i="8" s="1"/>
  <c r="S32" i="8" s="1"/>
  <c r="Q31" i="8"/>
  <c r="R31" i="8" s="1"/>
  <c r="S31" i="8" s="1"/>
  <c r="Q30" i="8"/>
  <c r="R30" i="8" s="1"/>
  <c r="S30" i="8" s="1"/>
  <c r="Q29" i="8"/>
  <c r="R29" i="8" s="1"/>
  <c r="S29" i="8" s="1"/>
  <c r="Q28" i="8"/>
  <c r="R28" i="8" s="1"/>
  <c r="S28" i="8" s="1"/>
  <c r="Q27" i="8"/>
  <c r="R27" i="8" s="1"/>
  <c r="S27" i="8" s="1"/>
  <c r="Q26" i="8"/>
  <c r="R26" i="8" s="1"/>
  <c r="S26" i="8" s="1"/>
  <c r="Q25" i="8"/>
  <c r="R25" i="8" s="1"/>
  <c r="S25" i="8" s="1"/>
  <c r="Q24" i="8"/>
  <c r="R24" i="8" s="1"/>
  <c r="S24" i="8" s="1"/>
  <c r="Q23" i="8"/>
  <c r="R23" i="8" s="1"/>
  <c r="S23" i="8" s="1"/>
  <c r="Q22" i="8"/>
  <c r="R22" i="8" s="1"/>
  <c r="S22" i="8" s="1"/>
  <c r="Q21" i="8"/>
  <c r="R21" i="8" s="1"/>
  <c r="S21" i="8" s="1"/>
  <c r="Q20" i="8"/>
  <c r="R20" i="8" s="1"/>
  <c r="S20" i="8" s="1"/>
  <c r="Q19" i="8"/>
  <c r="R19" i="8" s="1"/>
  <c r="S19" i="8" s="1"/>
  <c r="Q18" i="8"/>
  <c r="R18" i="8" s="1"/>
  <c r="S18" i="8" s="1"/>
  <c r="Q17" i="8"/>
  <c r="R17" i="8" s="1"/>
  <c r="S17" i="8" s="1"/>
  <c r="Q16" i="8"/>
  <c r="R16" i="8" s="1"/>
  <c r="S16" i="8" s="1"/>
  <c r="Q15" i="8"/>
  <c r="R15" i="8" s="1"/>
  <c r="S15" i="8" s="1"/>
  <c r="Q14" i="8"/>
  <c r="R14" i="8" s="1"/>
  <c r="S14" i="8" s="1"/>
  <c r="Q13" i="8"/>
  <c r="R13" i="8" s="1"/>
  <c r="S13" i="8" s="1"/>
  <c r="Q12" i="8"/>
  <c r="R12" i="8" s="1"/>
  <c r="S12" i="8" s="1"/>
  <c r="Q11" i="8"/>
  <c r="R11" i="8" s="1"/>
  <c r="S11" i="8" s="1"/>
  <c r="Q10" i="8"/>
  <c r="R10" i="8" s="1"/>
  <c r="S10" i="8" s="1"/>
  <c r="Q9" i="8"/>
  <c r="R9" i="8" s="1"/>
  <c r="S9" i="8" s="1"/>
  <c r="Q8" i="8"/>
  <c r="R8" i="8" s="1"/>
  <c r="S8" i="8" s="1"/>
  <c r="Q7" i="8"/>
  <c r="R7" i="8" s="1"/>
  <c r="S7" i="8" s="1"/>
  <c r="Q6" i="8"/>
  <c r="R6" i="8" s="1"/>
  <c r="S6" i="8" s="1"/>
  <c r="Q5" i="8"/>
  <c r="R5" i="8" s="1"/>
  <c r="S5" i="8" s="1"/>
  <c r="Q4" i="8"/>
  <c r="R4" i="8" s="1"/>
  <c r="S4" i="8" s="1"/>
  <c r="Q3" i="8"/>
  <c r="R3" i="8" s="1"/>
  <c r="S3" i="8" s="1"/>
  <c r="Q2" i="8"/>
  <c r="R2" i="8" s="1"/>
  <c r="S2" i="8" s="1"/>
  <c r="Q305" i="6"/>
  <c r="R305" i="6" s="1"/>
  <c r="S305" i="6" s="1"/>
  <c r="R304" i="6"/>
  <c r="S304" i="6" s="1"/>
  <c r="Q304" i="6"/>
  <c r="Q303" i="6"/>
  <c r="R303" i="6" s="1"/>
  <c r="S303" i="6" s="1"/>
  <c r="R302" i="6"/>
  <c r="S302" i="6" s="1"/>
  <c r="Q302" i="6"/>
  <c r="Q301" i="6"/>
  <c r="R301" i="6" s="1"/>
  <c r="S301" i="6" s="1"/>
  <c r="R300" i="6"/>
  <c r="S300" i="6" s="1"/>
  <c r="Q300" i="6"/>
  <c r="Q299" i="6"/>
  <c r="R299" i="6" s="1"/>
  <c r="S299" i="6" s="1"/>
  <c r="R298" i="6"/>
  <c r="S298" i="6" s="1"/>
  <c r="Q298" i="6"/>
  <c r="Q297" i="6"/>
  <c r="R297" i="6" s="1"/>
  <c r="S297" i="6" s="1"/>
  <c r="R296" i="6"/>
  <c r="S296" i="6" s="1"/>
  <c r="Q296" i="6"/>
  <c r="Q295" i="6"/>
  <c r="R295" i="6" s="1"/>
  <c r="S295" i="6" s="1"/>
  <c r="R294" i="6"/>
  <c r="S294" i="6" s="1"/>
  <c r="Q294" i="6"/>
  <c r="Q293" i="6"/>
  <c r="R293" i="6" s="1"/>
  <c r="S293" i="6" s="1"/>
  <c r="R292" i="6"/>
  <c r="S292" i="6" s="1"/>
  <c r="Q292" i="6"/>
  <c r="Q291" i="6"/>
  <c r="R291" i="6" s="1"/>
  <c r="S291" i="6" s="1"/>
  <c r="R290" i="6"/>
  <c r="S290" i="6" s="1"/>
  <c r="Q290" i="6"/>
  <c r="Q289" i="6"/>
  <c r="R289" i="6" s="1"/>
  <c r="S289" i="6" s="1"/>
  <c r="R288" i="6"/>
  <c r="S288" i="6" s="1"/>
  <c r="Q288" i="6"/>
  <c r="Q287" i="6"/>
  <c r="R287" i="6" s="1"/>
  <c r="S287" i="6" s="1"/>
  <c r="R286" i="6"/>
  <c r="S286" i="6" s="1"/>
  <c r="Q286" i="6"/>
  <c r="Q285" i="6"/>
  <c r="R285" i="6" s="1"/>
  <c r="S285" i="6" s="1"/>
  <c r="R284" i="6"/>
  <c r="S284" i="6" s="1"/>
  <c r="Q284" i="6"/>
  <c r="Q283" i="6"/>
  <c r="R283" i="6" s="1"/>
  <c r="S283" i="6" s="1"/>
  <c r="R282" i="6"/>
  <c r="S282" i="6" s="1"/>
  <c r="Q282" i="6"/>
  <c r="Q281" i="6"/>
  <c r="R281" i="6" s="1"/>
  <c r="S281" i="6" s="1"/>
  <c r="R280" i="6"/>
  <c r="S280" i="6" s="1"/>
  <c r="Q280" i="6"/>
  <c r="Q279" i="6"/>
  <c r="R279" i="6" s="1"/>
  <c r="S279" i="6" s="1"/>
  <c r="R278" i="6"/>
  <c r="S278" i="6" s="1"/>
  <c r="Q278" i="6"/>
  <c r="Q277" i="6"/>
  <c r="R277" i="6" s="1"/>
  <c r="S277" i="6" s="1"/>
  <c r="R276" i="6"/>
  <c r="S276" i="6" s="1"/>
  <c r="Q276" i="6"/>
  <c r="Q275" i="6"/>
  <c r="R275" i="6" s="1"/>
  <c r="S275" i="6" s="1"/>
  <c r="R274" i="6"/>
  <c r="S274" i="6" s="1"/>
  <c r="Q274" i="6"/>
  <c r="Q273" i="6"/>
  <c r="R273" i="6" s="1"/>
  <c r="S273" i="6" s="1"/>
  <c r="R272" i="6"/>
  <c r="S272" i="6" s="1"/>
  <c r="Q272" i="6"/>
  <c r="Q271" i="6"/>
  <c r="R271" i="6" s="1"/>
  <c r="S271" i="6" s="1"/>
  <c r="R270" i="6"/>
  <c r="S270" i="6" s="1"/>
  <c r="Q270" i="6"/>
  <c r="Q269" i="6"/>
  <c r="R269" i="6" s="1"/>
  <c r="S269" i="6" s="1"/>
  <c r="R268" i="6"/>
  <c r="S268" i="6" s="1"/>
  <c r="Q268" i="6"/>
  <c r="Q267" i="6"/>
  <c r="R267" i="6" s="1"/>
  <c r="S267" i="6" s="1"/>
  <c r="R266" i="6"/>
  <c r="S266" i="6" s="1"/>
  <c r="Q266" i="6"/>
  <c r="Q265" i="6"/>
  <c r="R265" i="6" s="1"/>
  <c r="S265" i="6" s="1"/>
  <c r="R264" i="6"/>
  <c r="S264" i="6" s="1"/>
  <c r="Q264" i="6"/>
  <c r="Q263" i="6"/>
  <c r="R263" i="6" s="1"/>
  <c r="S263" i="6" s="1"/>
  <c r="R262" i="6"/>
  <c r="S262" i="6" s="1"/>
  <c r="Q262" i="6"/>
  <c r="Q261" i="6"/>
  <c r="R261" i="6" s="1"/>
  <c r="S261" i="6" s="1"/>
  <c r="R260" i="6"/>
  <c r="S260" i="6" s="1"/>
  <c r="Q260" i="6"/>
  <c r="Q259" i="6"/>
  <c r="R259" i="6" s="1"/>
  <c r="S259" i="6" s="1"/>
  <c r="R258" i="6"/>
  <c r="S258" i="6" s="1"/>
  <c r="Q258" i="6"/>
  <c r="Q257" i="6"/>
  <c r="R257" i="6" s="1"/>
  <c r="S257" i="6" s="1"/>
  <c r="R256" i="6"/>
  <c r="S256" i="6" s="1"/>
  <c r="Q256" i="6"/>
  <c r="Q255" i="6"/>
  <c r="R255" i="6" s="1"/>
  <c r="S255" i="6" s="1"/>
  <c r="R254" i="6"/>
  <c r="S254" i="6" s="1"/>
  <c r="Q254" i="6"/>
  <c r="Q253" i="6"/>
  <c r="R253" i="6" s="1"/>
  <c r="S253" i="6" s="1"/>
  <c r="R252" i="6"/>
  <c r="S252" i="6" s="1"/>
  <c r="Q252" i="6"/>
  <c r="Q251" i="6"/>
  <c r="R251" i="6" s="1"/>
  <c r="S251" i="6" s="1"/>
  <c r="R250" i="6"/>
  <c r="S250" i="6" s="1"/>
  <c r="Q250" i="6"/>
  <c r="Q249" i="6"/>
  <c r="R249" i="6" s="1"/>
  <c r="S249" i="6" s="1"/>
  <c r="R248" i="6"/>
  <c r="S248" i="6" s="1"/>
  <c r="Q248" i="6"/>
  <c r="Q247" i="6"/>
  <c r="R247" i="6" s="1"/>
  <c r="S247" i="6" s="1"/>
  <c r="R246" i="6"/>
  <c r="S246" i="6" s="1"/>
  <c r="Q246" i="6"/>
  <c r="Q245" i="6"/>
  <c r="R245" i="6" s="1"/>
  <c r="S245" i="6" s="1"/>
  <c r="R244" i="6"/>
  <c r="S244" i="6" s="1"/>
  <c r="Q244" i="6"/>
  <c r="Q243" i="6"/>
  <c r="R243" i="6" s="1"/>
  <c r="S243" i="6" s="1"/>
  <c r="R242" i="6"/>
  <c r="S242" i="6" s="1"/>
  <c r="Q242" i="6"/>
  <c r="Q241" i="6"/>
  <c r="R241" i="6" s="1"/>
  <c r="S241" i="6" s="1"/>
  <c r="R240" i="6"/>
  <c r="S240" i="6" s="1"/>
  <c r="Q240" i="6"/>
  <c r="Q239" i="6"/>
  <c r="R239" i="6" s="1"/>
  <c r="S239" i="6" s="1"/>
  <c r="R238" i="6"/>
  <c r="S238" i="6" s="1"/>
  <c r="Q238" i="6"/>
  <c r="Q237" i="6"/>
  <c r="R237" i="6" s="1"/>
  <c r="S237" i="6" s="1"/>
  <c r="R236" i="6"/>
  <c r="S236" i="6" s="1"/>
  <c r="Q236" i="6"/>
  <c r="Q235" i="6"/>
  <c r="R235" i="6" s="1"/>
  <c r="S235" i="6" s="1"/>
  <c r="R234" i="6"/>
  <c r="S234" i="6" s="1"/>
  <c r="Q234" i="6"/>
  <c r="Q233" i="6"/>
  <c r="R233" i="6" s="1"/>
  <c r="S233" i="6" s="1"/>
  <c r="R232" i="6"/>
  <c r="S232" i="6" s="1"/>
  <c r="Q232" i="6"/>
  <c r="Q231" i="6"/>
  <c r="R231" i="6" s="1"/>
  <c r="S231" i="6" s="1"/>
  <c r="R230" i="6"/>
  <c r="S230" i="6" s="1"/>
  <c r="Q230" i="6"/>
  <c r="Q229" i="6"/>
  <c r="R229" i="6" s="1"/>
  <c r="S229" i="6" s="1"/>
  <c r="R228" i="6"/>
  <c r="S228" i="6" s="1"/>
  <c r="Q228" i="6"/>
  <c r="Q227" i="6"/>
  <c r="R227" i="6" s="1"/>
  <c r="S227" i="6" s="1"/>
  <c r="R226" i="6"/>
  <c r="S226" i="6" s="1"/>
  <c r="Q226" i="6"/>
  <c r="Q225" i="6"/>
  <c r="R225" i="6" s="1"/>
  <c r="S225" i="6" s="1"/>
  <c r="R224" i="6"/>
  <c r="S224" i="6" s="1"/>
  <c r="Q224" i="6"/>
  <c r="Q223" i="6"/>
  <c r="R223" i="6" s="1"/>
  <c r="S223" i="6" s="1"/>
  <c r="R222" i="6"/>
  <c r="S222" i="6" s="1"/>
  <c r="Q222" i="6"/>
  <c r="Q221" i="6"/>
  <c r="R221" i="6" s="1"/>
  <c r="S221" i="6" s="1"/>
  <c r="S220" i="6"/>
  <c r="R220" i="6"/>
  <c r="Q220" i="6"/>
  <c r="Q219" i="6"/>
  <c r="R219" i="6" s="1"/>
  <c r="S219" i="6" s="1"/>
  <c r="Q218" i="6"/>
  <c r="R218" i="6" s="1"/>
  <c r="S218" i="6" s="1"/>
  <c r="Q217" i="6"/>
  <c r="R217" i="6" s="1"/>
  <c r="S217" i="6" s="1"/>
  <c r="R216" i="6"/>
  <c r="S216" i="6" s="1"/>
  <c r="Q216" i="6"/>
  <c r="R215" i="6"/>
  <c r="S215" i="6" s="1"/>
  <c r="Q215" i="6"/>
  <c r="R214" i="6"/>
  <c r="S214" i="6" s="1"/>
  <c r="Q214" i="6"/>
  <c r="Q213" i="6"/>
  <c r="R213" i="6" s="1"/>
  <c r="S213" i="6" s="1"/>
  <c r="S212" i="6"/>
  <c r="R212" i="6"/>
  <c r="Q212" i="6"/>
  <c r="Q211" i="6"/>
  <c r="R211" i="6" s="1"/>
  <c r="S211" i="6" s="1"/>
  <c r="Q210" i="6"/>
  <c r="R210" i="6" s="1"/>
  <c r="S210" i="6" s="1"/>
  <c r="Q209" i="6"/>
  <c r="R209" i="6" s="1"/>
  <c r="S209" i="6" s="1"/>
  <c r="R208" i="6"/>
  <c r="S208" i="6" s="1"/>
  <c r="Q208" i="6"/>
  <c r="R207" i="6"/>
  <c r="S207" i="6" s="1"/>
  <c r="Q207" i="6"/>
  <c r="R206" i="6"/>
  <c r="S206" i="6" s="1"/>
  <c r="Q206" i="6"/>
  <c r="Q205" i="6"/>
  <c r="R205" i="6" s="1"/>
  <c r="S205" i="6" s="1"/>
  <c r="S204" i="6"/>
  <c r="R204" i="6"/>
  <c r="Q204" i="6"/>
  <c r="Q203" i="6"/>
  <c r="R203" i="6" s="1"/>
  <c r="S203" i="6" s="1"/>
  <c r="Q202" i="6"/>
  <c r="R202" i="6" s="1"/>
  <c r="S202" i="6" s="1"/>
  <c r="Q201" i="6"/>
  <c r="R201" i="6" s="1"/>
  <c r="S201" i="6" s="1"/>
  <c r="R200" i="6"/>
  <c r="S200" i="6" s="1"/>
  <c r="Q200" i="6"/>
  <c r="R199" i="6"/>
  <c r="S199" i="6" s="1"/>
  <c r="Q199" i="6"/>
  <c r="R198" i="6"/>
  <c r="S198" i="6" s="1"/>
  <c r="Q198" i="6"/>
  <c r="Q197" i="6"/>
  <c r="R197" i="6" s="1"/>
  <c r="S197" i="6" s="1"/>
  <c r="S196" i="6"/>
  <c r="R196" i="6"/>
  <c r="Q196" i="6"/>
  <c r="Q195" i="6"/>
  <c r="R195" i="6" s="1"/>
  <c r="S195" i="6" s="1"/>
  <c r="Q194" i="6"/>
  <c r="R194" i="6" s="1"/>
  <c r="S194" i="6" s="1"/>
  <c r="Q193" i="6"/>
  <c r="R193" i="6" s="1"/>
  <c r="S193" i="6" s="1"/>
  <c r="R192" i="6"/>
  <c r="S192" i="6" s="1"/>
  <c r="Q192" i="6"/>
  <c r="R191" i="6"/>
  <c r="S191" i="6" s="1"/>
  <c r="Q191" i="6"/>
  <c r="R190" i="6"/>
  <c r="S190" i="6" s="1"/>
  <c r="Q190" i="6"/>
  <c r="Q189" i="6"/>
  <c r="R189" i="6" s="1"/>
  <c r="S189" i="6" s="1"/>
  <c r="S188" i="6"/>
  <c r="R188" i="6"/>
  <c r="Q188" i="6"/>
  <c r="Q187" i="6"/>
  <c r="R187" i="6" s="1"/>
  <c r="S187" i="6" s="1"/>
  <c r="Q186" i="6"/>
  <c r="R186" i="6" s="1"/>
  <c r="S186" i="6" s="1"/>
  <c r="Q185" i="6"/>
  <c r="R185" i="6" s="1"/>
  <c r="S185" i="6" s="1"/>
  <c r="R184" i="6"/>
  <c r="S184" i="6" s="1"/>
  <c r="Q184" i="6"/>
  <c r="R183" i="6"/>
  <c r="S183" i="6" s="1"/>
  <c r="Q183" i="6"/>
  <c r="R182" i="6"/>
  <c r="S182" i="6" s="1"/>
  <c r="Q182" i="6"/>
  <c r="Q181" i="6"/>
  <c r="R181" i="6" s="1"/>
  <c r="S181" i="6" s="1"/>
  <c r="S180" i="6"/>
  <c r="R180" i="6"/>
  <c r="Q180" i="6"/>
  <c r="Q179" i="6"/>
  <c r="R179" i="6" s="1"/>
  <c r="S179" i="6" s="1"/>
  <c r="Q178" i="6"/>
  <c r="R178" i="6" s="1"/>
  <c r="S178" i="6" s="1"/>
  <c r="Q177" i="6"/>
  <c r="R177" i="6" s="1"/>
  <c r="S177" i="6" s="1"/>
  <c r="R176" i="6"/>
  <c r="S176" i="6" s="1"/>
  <c r="Q176" i="6"/>
  <c r="R175" i="6"/>
  <c r="S175" i="6" s="1"/>
  <c r="Q175" i="6"/>
  <c r="R174" i="6"/>
  <c r="S174" i="6" s="1"/>
  <c r="Q174" i="6"/>
  <c r="Q173" i="6"/>
  <c r="R173" i="6" s="1"/>
  <c r="S173" i="6" s="1"/>
  <c r="S172" i="6"/>
  <c r="R172" i="6"/>
  <c r="Q172" i="6"/>
  <c r="Q171" i="6"/>
  <c r="R171" i="6" s="1"/>
  <c r="S171" i="6" s="1"/>
  <c r="Q170" i="6"/>
  <c r="R170" i="6" s="1"/>
  <c r="S170" i="6" s="1"/>
  <c r="Q169" i="6"/>
  <c r="R169" i="6" s="1"/>
  <c r="S169" i="6" s="1"/>
  <c r="R168" i="6"/>
  <c r="S168" i="6" s="1"/>
  <c r="Q168" i="6"/>
  <c r="R167" i="6"/>
  <c r="S167" i="6" s="1"/>
  <c r="Q167" i="6"/>
  <c r="R166" i="6"/>
  <c r="S166" i="6" s="1"/>
  <c r="Q166" i="6"/>
  <c r="Q165" i="6"/>
  <c r="R165" i="6" s="1"/>
  <c r="S165" i="6" s="1"/>
  <c r="S164" i="6"/>
  <c r="R164" i="6"/>
  <c r="Q164" i="6"/>
  <c r="Q163" i="6"/>
  <c r="R163" i="6" s="1"/>
  <c r="S163" i="6" s="1"/>
  <c r="Q162" i="6"/>
  <c r="R162" i="6" s="1"/>
  <c r="S162" i="6" s="1"/>
  <c r="Q161" i="6"/>
  <c r="R161" i="6" s="1"/>
  <c r="S161" i="6" s="1"/>
  <c r="R160" i="6"/>
  <c r="S160" i="6" s="1"/>
  <c r="Q160" i="6"/>
  <c r="R159" i="6"/>
  <c r="S159" i="6" s="1"/>
  <c r="Q159" i="6"/>
  <c r="Q158" i="6"/>
  <c r="R158" i="6" s="1"/>
  <c r="S158" i="6" s="1"/>
  <c r="Q157" i="6"/>
  <c r="R157" i="6" s="1"/>
  <c r="S157" i="6" s="1"/>
  <c r="Q156" i="6"/>
  <c r="R156" i="6" s="1"/>
  <c r="S156" i="6" s="1"/>
  <c r="Q155" i="6"/>
  <c r="R155" i="6" s="1"/>
  <c r="S155" i="6" s="1"/>
  <c r="Q154" i="6"/>
  <c r="R154" i="6" s="1"/>
  <c r="S154" i="6" s="1"/>
  <c r="Q153" i="6"/>
  <c r="R153" i="6" s="1"/>
  <c r="S153" i="6" s="1"/>
  <c r="R152" i="6"/>
  <c r="S152" i="6" s="1"/>
  <c r="Q152" i="6"/>
  <c r="R151" i="6"/>
  <c r="S151" i="6" s="1"/>
  <c r="Q151" i="6"/>
  <c r="R150" i="6"/>
  <c r="S150" i="6" s="1"/>
  <c r="Q150" i="6"/>
  <c r="Q149" i="6"/>
  <c r="R149" i="6" s="1"/>
  <c r="S149" i="6" s="1"/>
  <c r="Q148" i="6"/>
  <c r="R148" i="6" s="1"/>
  <c r="S148" i="6" s="1"/>
  <c r="Q147" i="6"/>
  <c r="R147" i="6" s="1"/>
  <c r="S147" i="6" s="1"/>
  <c r="Q146" i="6"/>
  <c r="R146" i="6" s="1"/>
  <c r="S146" i="6" s="1"/>
  <c r="Q145" i="6"/>
  <c r="R145" i="6" s="1"/>
  <c r="S145" i="6" s="1"/>
  <c r="R144" i="6"/>
  <c r="S144" i="6" s="1"/>
  <c r="Q144" i="6"/>
  <c r="R143" i="6"/>
  <c r="S143" i="6" s="1"/>
  <c r="Q143" i="6"/>
  <c r="R142" i="6"/>
  <c r="S142" i="6" s="1"/>
  <c r="Q142" i="6"/>
  <c r="Q141" i="6"/>
  <c r="R141" i="6" s="1"/>
  <c r="S141" i="6" s="1"/>
  <c r="Q140" i="6"/>
  <c r="R140" i="6" s="1"/>
  <c r="S140" i="6" s="1"/>
  <c r="Q139" i="6"/>
  <c r="R139" i="6" s="1"/>
  <c r="S139" i="6" s="1"/>
  <c r="Q138" i="6"/>
  <c r="R138" i="6" s="1"/>
  <c r="S138" i="6" s="1"/>
  <c r="Q137" i="6"/>
  <c r="R137" i="6" s="1"/>
  <c r="S137" i="6" s="1"/>
  <c r="R136" i="6"/>
  <c r="S136" i="6" s="1"/>
  <c r="Q136" i="6"/>
  <c r="R135" i="6"/>
  <c r="S135" i="6" s="1"/>
  <c r="Q135" i="6"/>
  <c r="R134" i="6"/>
  <c r="S134" i="6" s="1"/>
  <c r="Q134" i="6"/>
  <c r="Q133" i="6"/>
  <c r="R133" i="6" s="1"/>
  <c r="S133" i="6" s="1"/>
  <c r="Q132" i="6"/>
  <c r="R132" i="6" s="1"/>
  <c r="S132" i="6" s="1"/>
  <c r="Q131" i="6"/>
  <c r="R131" i="6" s="1"/>
  <c r="S131" i="6" s="1"/>
  <c r="Q130" i="6"/>
  <c r="R130" i="6" s="1"/>
  <c r="S130" i="6" s="1"/>
  <c r="Q129" i="6"/>
  <c r="R129" i="6" s="1"/>
  <c r="S129" i="6" s="1"/>
  <c r="R128" i="6"/>
  <c r="S128" i="6" s="1"/>
  <c r="Q128" i="6"/>
  <c r="R127" i="6"/>
  <c r="S127" i="6" s="1"/>
  <c r="Q127" i="6"/>
  <c r="R126" i="6"/>
  <c r="S126" i="6" s="1"/>
  <c r="Q126" i="6"/>
  <c r="Q125" i="6"/>
  <c r="R125" i="6" s="1"/>
  <c r="S125" i="6" s="1"/>
  <c r="Q124" i="6"/>
  <c r="R124" i="6" s="1"/>
  <c r="S124" i="6" s="1"/>
  <c r="Q123" i="6"/>
  <c r="R123" i="6" s="1"/>
  <c r="S123" i="6" s="1"/>
  <c r="Q122" i="6"/>
  <c r="R122" i="6" s="1"/>
  <c r="S122" i="6" s="1"/>
  <c r="Q121" i="6"/>
  <c r="R121" i="6" s="1"/>
  <c r="S121" i="6" s="1"/>
  <c r="R120" i="6"/>
  <c r="S120" i="6" s="1"/>
  <c r="Q120" i="6"/>
  <c r="R119" i="6"/>
  <c r="S119" i="6" s="1"/>
  <c r="Q119" i="6"/>
  <c r="R118" i="6"/>
  <c r="S118" i="6" s="1"/>
  <c r="Q118" i="6"/>
  <c r="Q117" i="6"/>
  <c r="R117" i="6" s="1"/>
  <c r="S117" i="6" s="1"/>
  <c r="Q116" i="6"/>
  <c r="R116" i="6" s="1"/>
  <c r="S116" i="6" s="1"/>
  <c r="Q115" i="6"/>
  <c r="R115" i="6" s="1"/>
  <c r="S115" i="6" s="1"/>
  <c r="Q114" i="6"/>
  <c r="R114" i="6" s="1"/>
  <c r="S114" i="6" s="1"/>
  <c r="Q113" i="6"/>
  <c r="R113" i="6" s="1"/>
  <c r="S113" i="6" s="1"/>
  <c r="R112" i="6"/>
  <c r="S112" i="6" s="1"/>
  <c r="Q112" i="6"/>
  <c r="R111" i="6"/>
  <c r="S111" i="6" s="1"/>
  <c r="Q111" i="6"/>
  <c r="R110" i="6"/>
  <c r="S110" i="6" s="1"/>
  <c r="Q110" i="6"/>
  <c r="Q109" i="6"/>
  <c r="R109" i="6" s="1"/>
  <c r="S109" i="6" s="1"/>
  <c r="Q108" i="6"/>
  <c r="R108" i="6" s="1"/>
  <c r="S108" i="6" s="1"/>
  <c r="Q107" i="6"/>
  <c r="R107" i="6" s="1"/>
  <c r="S107" i="6" s="1"/>
  <c r="Q106" i="6"/>
  <c r="R106" i="6" s="1"/>
  <c r="S106" i="6" s="1"/>
  <c r="Q105" i="6"/>
  <c r="R105" i="6" s="1"/>
  <c r="S105" i="6" s="1"/>
  <c r="R104" i="6"/>
  <c r="S104" i="6" s="1"/>
  <c r="Q104" i="6"/>
  <c r="R103" i="6"/>
  <c r="S103" i="6" s="1"/>
  <c r="Q103" i="6"/>
  <c r="R102" i="6"/>
  <c r="S102" i="6" s="1"/>
  <c r="Q102" i="6"/>
  <c r="Q101" i="6"/>
  <c r="R101" i="6" s="1"/>
  <c r="S101" i="6" s="1"/>
  <c r="Q100" i="6"/>
  <c r="R100" i="6" s="1"/>
  <c r="S100" i="6" s="1"/>
  <c r="Q99" i="6"/>
  <c r="R99" i="6" s="1"/>
  <c r="S99" i="6" s="1"/>
  <c r="Q98" i="6"/>
  <c r="R98" i="6" s="1"/>
  <c r="S98" i="6" s="1"/>
  <c r="Q97" i="6"/>
  <c r="R97" i="6" s="1"/>
  <c r="S97" i="6" s="1"/>
  <c r="R96" i="6"/>
  <c r="S96" i="6" s="1"/>
  <c r="Q96" i="6"/>
  <c r="R95" i="6"/>
  <c r="S95" i="6" s="1"/>
  <c r="Q95" i="6"/>
  <c r="R94" i="6"/>
  <c r="S94" i="6" s="1"/>
  <c r="Q94" i="6"/>
  <c r="Q93" i="6"/>
  <c r="R93" i="6" s="1"/>
  <c r="S93" i="6" s="1"/>
  <c r="Q92" i="6"/>
  <c r="R92" i="6" s="1"/>
  <c r="S92" i="6" s="1"/>
  <c r="Q91" i="6"/>
  <c r="R91" i="6" s="1"/>
  <c r="S91" i="6" s="1"/>
  <c r="Q90" i="6"/>
  <c r="R90" i="6" s="1"/>
  <c r="S90" i="6" s="1"/>
  <c r="Q89" i="6"/>
  <c r="R89" i="6" s="1"/>
  <c r="S89" i="6" s="1"/>
  <c r="R88" i="6"/>
  <c r="S88" i="6" s="1"/>
  <c r="Q88" i="6"/>
  <c r="R87" i="6"/>
  <c r="S87" i="6" s="1"/>
  <c r="Q87" i="6"/>
  <c r="R86" i="6"/>
  <c r="S86" i="6" s="1"/>
  <c r="Q86" i="6"/>
  <c r="Q85" i="6"/>
  <c r="R85" i="6" s="1"/>
  <c r="S85" i="6" s="1"/>
  <c r="Q84" i="6"/>
  <c r="R84" i="6" s="1"/>
  <c r="S84" i="6" s="1"/>
  <c r="Q83" i="6"/>
  <c r="R83" i="6" s="1"/>
  <c r="S83" i="6" s="1"/>
  <c r="Q82" i="6"/>
  <c r="R82" i="6" s="1"/>
  <c r="S82" i="6" s="1"/>
  <c r="Q81" i="6"/>
  <c r="R81" i="6" s="1"/>
  <c r="S81" i="6" s="1"/>
  <c r="R80" i="6"/>
  <c r="S80" i="6" s="1"/>
  <c r="Q80" i="6"/>
  <c r="R79" i="6"/>
  <c r="S79" i="6" s="1"/>
  <c r="Q79" i="6"/>
  <c r="R78" i="6"/>
  <c r="S78" i="6" s="1"/>
  <c r="Q78" i="6"/>
  <c r="Q77" i="6"/>
  <c r="R77" i="6" s="1"/>
  <c r="S77" i="6" s="1"/>
  <c r="S76" i="6"/>
  <c r="R76" i="6"/>
  <c r="Q76" i="6"/>
  <c r="Q75" i="6"/>
  <c r="R75" i="6" s="1"/>
  <c r="S75" i="6" s="1"/>
  <c r="Q74" i="6"/>
  <c r="R74" i="6" s="1"/>
  <c r="S74" i="6" s="1"/>
  <c r="Q73" i="6"/>
  <c r="R73" i="6" s="1"/>
  <c r="S73" i="6" s="1"/>
  <c r="R72" i="6"/>
  <c r="S72" i="6" s="1"/>
  <c r="Q72" i="6"/>
  <c r="R71" i="6"/>
  <c r="S71" i="6" s="1"/>
  <c r="Q71" i="6"/>
  <c r="R70" i="6"/>
  <c r="S70" i="6" s="1"/>
  <c r="Q70" i="6"/>
  <c r="Q69" i="6"/>
  <c r="R69" i="6" s="1"/>
  <c r="S69" i="6" s="1"/>
  <c r="S68" i="6"/>
  <c r="R68" i="6"/>
  <c r="Q68" i="6"/>
  <c r="Q67" i="6"/>
  <c r="R67" i="6" s="1"/>
  <c r="S67" i="6" s="1"/>
  <c r="Q66" i="6"/>
  <c r="R66" i="6" s="1"/>
  <c r="S66" i="6" s="1"/>
  <c r="Q65" i="6"/>
  <c r="R65" i="6" s="1"/>
  <c r="S65" i="6" s="1"/>
  <c r="R64" i="6"/>
  <c r="S64" i="6" s="1"/>
  <c r="Q64" i="6"/>
  <c r="R63" i="6"/>
  <c r="S63" i="6" s="1"/>
  <c r="Q63" i="6"/>
  <c r="R62" i="6"/>
  <c r="S62" i="6" s="1"/>
  <c r="Q62" i="6"/>
  <c r="Q61" i="6"/>
  <c r="R61" i="6" s="1"/>
  <c r="S61" i="6" s="1"/>
  <c r="Q60" i="6"/>
  <c r="R60" i="6" s="1"/>
  <c r="S60" i="6" s="1"/>
  <c r="Q59" i="6"/>
  <c r="R59" i="6" s="1"/>
  <c r="S59" i="6" s="1"/>
  <c r="Q58" i="6"/>
  <c r="R58" i="6" s="1"/>
  <c r="S58" i="6" s="1"/>
  <c r="Q57" i="6"/>
  <c r="R57" i="6" s="1"/>
  <c r="S57" i="6" s="1"/>
  <c r="R56" i="6"/>
  <c r="S56" i="6" s="1"/>
  <c r="Q56" i="6"/>
  <c r="R55" i="6"/>
  <c r="S55" i="6" s="1"/>
  <c r="Q55" i="6"/>
  <c r="R54" i="6"/>
  <c r="S54" i="6" s="1"/>
  <c r="Q54" i="6"/>
  <c r="Q53" i="6"/>
  <c r="R53" i="6" s="1"/>
  <c r="S53" i="6" s="1"/>
  <c r="Q52" i="6"/>
  <c r="R52" i="6" s="1"/>
  <c r="S52" i="6" s="1"/>
  <c r="Q51" i="6"/>
  <c r="R51" i="6" s="1"/>
  <c r="S51" i="6" s="1"/>
  <c r="Q50" i="6"/>
  <c r="R50" i="6" s="1"/>
  <c r="S50" i="6" s="1"/>
  <c r="Q49" i="6"/>
  <c r="R49" i="6" s="1"/>
  <c r="S49" i="6" s="1"/>
  <c r="R48" i="6"/>
  <c r="S48" i="6" s="1"/>
  <c r="Q48" i="6"/>
  <c r="R47" i="6"/>
  <c r="S47" i="6" s="1"/>
  <c r="Q47" i="6"/>
  <c r="R46" i="6"/>
  <c r="S46" i="6" s="1"/>
  <c r="Q46" i="6"/>
  <c r="Q45" i="6"/>
  <c r="R45" i="6" s="1"/>
  <c r="S45" i="6" s="1"/>
  <c r="Q44" i="6"/>
  <c r="R44" i="6" s="1"/>
  <c r="S44" i="6" s="1"/>
  <c r="Q43" i="6"/>
  <c r="R43" i="6" s="1"/>
  <c r="S43" i="6" s="1"/>
  <c r="Q42" i="6"/>
  <c r="R42" i="6" s="1"/>
  <c r="S42" i="6" s="1"/>
  <c r="Q41" i="6"/>
  <c r="R41" i="6" s="1"/>
  <c r="S41" i="6" s="1"/>
  <c r="R40" i="6"/>
  <c r="S40" i="6" s="1"/>
  <c r="Q40" i="6"/>
  <c r="R39" i="6"/>
  <c r="S39" i="6" s="1"/>
  <c r="Q39" i="6"/>
  <c r="R38" i="6"/>
  <c r="S38" i="6" s="1"/>
  <c r="Q38" i="6"/>
  <c r="Q37" i="6"/>
  <c r="R37" i="6" s="1"/>
  <c r="S37" i="6" s="1"/>
  <c r="Q36" i="6"/>
  <c r="R36" i="6" s="1"/>
  <c r="S36" i="6" s="1"/>
  <c r="Q35" i="6"/>
  <c r="R35" i="6" s="1"/>
  <c r="S35" i="6" s="1"/>
  <c r="Q34" i="6"/>
  <c r="R34" i="6" s="1"/>
  <c r="S34" i="6" s="1"/>
  <c r="Q33" i="6"/>
  <c r="R33" i="6" s="1"/>
  <c r="S33" i="6" s="1"/>
  <c r="R32" i="6"/>
  <c r="S32" i="6" s="1"/>
  <c r="Q32" i="6"/>
  <c r="R31" i="6"/>
  <c r="S31" i="6" s="1"/>
  <c r="Q31" i="6"/>
  <c r="R30" i="6"/>
  <c r="S30" i="6" s="1"/>
  <c r="Q30" i="6"/>
  <c r="Q29" i="6"/>
  <c r="R29" i="6" s="1"/>
  <c r="S29" i="6" s="1"/>
  <c r="Q28" i="6"/>
  <c r="R28" i="6" s="1"/>
  <c r="S28" i="6" s="1"/>
  <c r="Q27" i="6"/>
  <c r="R27" i="6" s="1"/>
  <c r="S27" i="6" s="1"/>
  <c r="Q26" i="6"/>
  <c r="R26" i="6" s="1"/>
  <c r="S26" i="6" s="1"/>
  <c r="Q25" i="6"/>
  <c r="R25" i="6" s="1"/>
  <c r="S25" i="6" s="1"/>
  <c r="R24" i="6"/>
  <c r="S24" i="6" s="1"/>
  <c r="Q24" i="6"/>
  <c r="R23" i="6"/>
  <c r="S23" i="6" s="1"/>
  <c r="Q23" i="6"/>
  <c r="R22" i="6"/>
  <c r="S22" i="6" s="1"/>
  <c r="Q22" i="6"/>
  <c r="Q21" i="6"/>
  <c r="R21" i="6" s="1"/>
  <c r="S21" i="6" s="1"/>
  <c r="Q20" i="6"/>
  <c r="R20" i="6" s="1"/>
  <c r="S20" i="6" s="1"/>
  <c r="Q19" i="6"/>
  <c r="R19" i="6" s="1"/>
  <c r="S19" i="6" s="1"/>
  <c r="Q18" i="6"/>
  <c r="R18" i="6" s="1"/>
  <c r="S18" i="6" s="1"/>
  <c r="Q17" i="6"/>
  <c r="R17" i="6" s="1"/>
  <c r="S17" i="6" s="1"/>
  <c r="R16" i="6"/>
  <c r="S16" i="6" s="1"/>
  <c r="Q16" i="6"/>
  <c r="R15" i="6"/>
  <c r="S15" i="6" s="1"/>
  <c r="Q15" i="6"/>
  <c r="R14" i="6"/>
  <c r="S14" i="6" s="1"/>
  <c r="Q14" i="6"/>
  <c r="Q13" i="6"/>
  <c r="R13" i="6" s="1"/>
  <c r="S13" i="6" s="1"/>
  <c r="Q12" i="6"/>
  <c r="R12" i="6" s="1"/>
  <c r="S12" i="6" s="1"/>
  <c r="Q11" i="6"/>
  <c r="R11" i="6" s="1"/>
  <c r="S11" i="6" s="1"/>
  <c r="Q10" i="6"/>
  <c r="R10" i="6" s="1"/>
  <c r="S10" i="6" s="1"/>
  <c r="Q9" i="6"/>
  <c r="R9" i="6" s="1"/>
  <c r="S9" i="6" s="1"/>
  <c r="R8" i="6"/>
  <c r="S8" i="6" s="1"/>
  <c r="Q8" i="6"/>
  <c r="R7" i="6"/>
  <c r="S7" i="6" s="1"/>
  <c r="Q7" i="6"/>
  <c r="R6" i="6"/>
  <c r="S6" i="6" s="1"/>
  <c r="Q6" i="6"/>
  <c r="Q5" i="6"/>
  <c r="R5" i="6" s="1"/>
  <c r="S5" i="6" s="1"/>
  <c r="Q4" i="6"/>
  <c r="R4" i="6" s="1"/>
  <c r="S4" i="6" s="1"/>
  <c r="Q3" i="6"/>
  <c r="R3" i="6" s="1"/>
  <c r="S3" i="6" s="1"/>
  <c r="Q2" i="6"/>
  <c r="R2" i="6" s="1"/>
  <c r="S2" i="6" s="1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2" i="9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" i="7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2" i="9"/>
</calcChain>
</file>

<file path=xl/sharedStrings.xml><?xml version="1.0" encoding="utf-8"?>
<sst xmlns="http://schemas.openxmlformats.org/spreadsheetml/2006/main" count="8717" uniqueCount="681">
  <si>
    <t>year</t>
  </si>
  <si>
    <t>trial_ID</t>
  </si>
  <si>
    <t>trial</t>
  </si>
  <si>
    <t>env</t>
  </si>
  <si>
    <t>field</t>
  </si>
  <si>
    <t>plot_ID</t>
  </si>
  <si>
    <t>plot</t>
  </si>
  <si>
    <t>col</t>
  </si>
  <si>
    <t>row</t>
  </si>
  <si>
    <t>blk</t>
  </si>
  <si>
    <t>trt</t>
  </si>
  <si>
    <t>gen</t>
  </si>
  <si>
    <t>fung_time</t>
  </si>
  <si>
    <t>weight</t>
  </si>
  <si>
    <t>moist</t>
  </si>
  <si>
    <t>tw</t>
  </si>
  <si>
    <t>weight_12</t>
  </si>
  <si>
    <t>kg_ha</t>
  </si>
  <si>
    <t>yield</t>
  </si>
  <si>
    <t>total</t>
  </si>
  <si>
    <t>head</t>
  </si>
  <si>
    <t>NBLS</t>
  </si>
  <si>
    <t>23-CER_IPM1</t>
  </si>
  <si>
    <t>CER_IPM1</t>
  </si>
  <si>
    <t>P1C1</t>
  </si>
  <si>
    <t>RRS1</t>
  </si>
  <si>
    <t>23-P1C1_101</t>
  </si>
  <si>
    <t>Cheniere</t>
  </si>
  <si>
    <t>NA</t>
  </si>
  <si>
    <t>23-P1C1_102</t>
  </si>
  <si>
    <t>Early</t>
  </si>
  <si>
    <t>23-P1C1_103</t>
  </si>
  <si>
    <t>23-P1C1_104</t>
  </si>
  <si>
    <t>23-P1C1_105</t>
  </si>
  <si>
    <t>23-P1C1_106</t>
  </si>
  <si>
    <t>23-P1C1_107</t>
  </si>
  <si>
    <t>23-P1C1_108</t>
  </si>
  <si>
    <t>23-P1C1_109</t>
  </si>
  <si>
    <t>23-P1C1_110</t>
  </si>
  <si>
    <t>23-P1C1_111</t>
  </si>
  <si>
    <t>23-P1C1_112</t>
  </si>
  <si>
    <t>23-P1C1_113</t>
  </si>
  <si>
    <t>CLJ01</t>
  </si>
  <si>
    <t>23-P1C1_114</t>
  </si>
  <si>
    <t>23-P1C1_115</t>
  </si>
  <si>
    <t>23-P1C1_116</t>
  </si>
  <si>
    <t>23-P1C1_117</t>
  </si>
  <si>
    <t>23-P1C1_118</t>
  </si>
  <si>
    <t>23-P1C1_119</t>
  </si>
  <si>
    <t>23-P1C1_120</t>
  </si>
  <si>
    <t>23-P1C1_201</t>
  </si>
  <si>
    <t>23-P1C1_202</t>
  </si>
  <si>
    <t>23-P1C1_203</t>
  </si>
  <si>
    <t>Late</t>
  </si>
  <si>
    <t>23-P1C1_204</t>
  </si>
  <si>
    <t>23-P1C1_205</t>
  </si>
  <si>
    <t>CLL17</t>
  </si>
  <si>
    <t>23-P1C1_206</t>
  </si>
  <si>
    <t>23-P1C1_207</t>
  </si>
  <si>
    <t>23-P1C1_208</t>
  </si>
  <si>
    <t>23-P1C1_209</t>
  </si>
  <si>
    <t>23-P1C1_210</t>
  </si>
  <si>
    <t>23-P1C1_211</t>
  </si>
  <si>
    <t>23-P1C1_212</t>
  </si>
  <si>
    <t>23-P1C1_213</t>
  </si>
  <si>
    <t>23-P1C1_214</t>
  </si>
  <si>
    <t>23-P1C1_215</t>
  </si>
  <si>
    <t>23-P1C1_216</t>
  </si>
  <si>
    <t>23-P1C1_217</t>
  </si>
  <si>
    <t>CLL19</t>
  </si>
  <si>
    <t>23-P1C1_218</t>
  </si>
  <si>
    <t>23-P1C1_219</t>
  </si>
  <si>
    <t>23-P1C1_220</t>
  </si>
  <si>
    <t>23-P1C1_301</t>
  </si>
  <si>
    <t>23-P1C1_302</t>
  </si>
  <si>
    <t>23-P1C1_303</t>
  </si>
  <si>
    <t>23-P1C1_304</t>
  </si>
  <si>
    <t>23-P1C1_305</t>
  </si>
  <si>
    <t>23-P1C1_306</t>
  </si>
  <si>
    <t>23-P1C1_307</t>
  </si>
  <si>
    <t>23-P1C1_308</t>
  </si>
  <si>
    <t>23-P1C1_309</t>
  </si>
  <si>
    <t>Mermentau</t>
  </si>
  <si>
    <t>23-P1C1_310</t>
  </si>
  <si>
    <t>23-P1C1_311</t>
  </si>
  <si>
    <t>23-P1C1_312</t>
  </si>
  <si>
    <t>23-P1C1_313</t>
  </si>
  <si>
    <t>Presidio</t>
  </si>
  <si>
    <t>23-P1C1_314</t>
  </si>
  <si>
    <t>23-P1C1_315</t>
  </si>
  <si>
    <t>23-P1C1_316</t>
  </si>
  <si>
    <t>23-P1C1_317</t>
  </si>
  <si>
    <t>23-P1C1_318</t>
  </si>
  <si>
    <t>23-P1C1_319</t>
  </si>
  <si>
    <t>23-P1C1_320</t>
  </si>
  <si>
    <t>23-P1C1_401</t>
  </si>
  <si>
    <t>23-P1C1_402</t>
  </si>
  <si>
    <t>23-P1C1_403</t>
  </si>
  <si>
    <t>23-P1C1_404</t>
  </si>
  <si>
    <t>23-P1C1_405</t>
  </si>
  <si>
    <t>PVL03</t>
  </si>
  <si>
    <t>23-P1C1_406</t>
  </si>
  <si>
    <t>23-P1C1_407</t>
  </si>
  <si>
    <t>23-P1C1_408</t>
  </si>
  <si>
    <t>23-P1C1_409</t>
  </si>
  <si>
    <t>23-P1C1_410</t>
  </si>
  <si>
    <t>23-P1C1_411</t>
  </si>
  <si>
    <t>23-P1C1_412</t>
  </si>
  <si>
    <t>23-P1C1_413</t>
  </si>
  <si>
    <t>23-P1C1_414</t>
  </si>
  <si>
    <t>23-P1C1_415</t>
  </si>
  <si>
    <t>23-P1C1_416</t>
  </si>
  <si>
    <t>23-P1C1_417</t>
  </si>
  <si>
    <t>Titan</t>
  </si>
  <si>
    <t>23-P1C1_418</t>
  </si>
  <si>
    <t>23-P1C1_419</t>
  </si>
  <si>
    <t>23-P1C1_420</t>
  </si>
  <si>
    <t>23-CER_IPM2</t>
  </si>
  <si>
    <t>CER_IPM2</t>
  </si>
  <si>
    <t>P2C1</t>
  </si>
  <si>
    <t>RRS2</t>
  </si>
  <si>
    <t>23-P2C1_101</t>
  </si>
  <si>
    <t>23-P2C1_102</t>
  </si>
  <si>
    <t>23-P2C1_103</t>
  </si>
  <si>
    <t>23-P2C1_104</t>
  </si>
  <si>
    <t>23-P2C1_105</t>
  </si>
  <si>
    <t>23-P2C1_106</t>
  </si>
  <si>
    <t>23-P2C1_107</t>
  </si>
  <si>
    <t>23-P2C1_108</t>
  </si>
  <si>
    <t>23-P2C1_109</t>
  </si>
  <si>
    <t>23-P2C1_110</t>
  </si>
  <si>
    <t>23-P2C1_111</t>
  </si>
  <si>
    <t>23-P2C1_112</t>
  </si>
  <si>
    <t>23-P2C1_113</t>
  </si>
  <si>
    <t>23-P2C1_114</t>
  </si>
  <si>
    <t>23-P2C1_115</t>
  </si>
  <si>
    <t>23-P2C1_116</t>
  </si>
  <si>
    <t>23-P2C1_201</t>
  </si>
  <si>
    <t>23-P2C1_202</t>
  </si>
  <si>
    <t>23-P2C1_203</t>
  </si>
  <si>
    <t>23-P2C1_204</t>
  </si>
  <si>
    <t>23-P2C1_205</t>
  </si>
  <si>
    <t>23-P2C1_206</t>
  </si>
  <si>
    <t>23-P2C1_207</t>
  </si>
  <si>
    <t>23-P2C1_208</t>
  </si>
  <si>
    <t>23-P2C1_209</t>
  </si>
  <si>
    <t>23-P2C1_210</t>
  </si>
  <si>
    <t>23-P2C1_211</t>
  </si>
  <si>
    <t>23-P2C1_212</t>
  </si>
  <si>
    <t>23-P2C1_213</t>
  </si>
  <si>
    <t>23-P2C1_214</t>
  </si>
  <si>
    <t>23-P2C1_215</t>
  </si>
  <si>
    <t>23-P2C1_216</t>
  </si>
  <si>
    <t>23-P2C1_301</t>
  </si>
  <si>
    <t>23-P2C1_302</t>
  </si>
  <si>
    <t>23-P2C1_303</t>
  </si>
  <si>
    <t>23-P2C1_304</t>
  </si>
  <si>
    <t>23-P2C1_305</t>
  </si>
  <si>
    <t>23-P2C1_306</t>
  </si>
  <si>
    <t>23-P2C1_307</t>
  </si>
  <si>
    <t>23-P2C1_308</t>
  </si>
  <si>
    <t>23-P2C1_309</t>
  </si>
  <si>
    <t>23-P2C1_310</t>
  </si>
  <si>
    <t>23-P2C1_311</t>
  </si>
  <si>
    <t>23-P2C1_312</t>
  </si>
  <si>
    <t>23-P2C1_313</t>
  </si>
  <si>
    <t>23-P2C1_314</t>
  </si>
  <si>
    <t>23-P2C1_315</t>
  </si>
  <si>
    <t>23-P2C1_316</t>
  </si>
  <si>
    <t>23-P2C1_401</t>
  </si>
  <si>
    <t>23-P2C1_402</t>
  </si>
  <si>
    <t>23-P2C1_403</t>
  </si>
  <si>
    <t>23-P2C1_404</t>
  </si>
  <si>
    <t>23-P2C1_405</t>
  </si>
  <si>
    <t>23-P2C1_406</t>
  </si>
  <si>
    <t>23-P2C1_407</t>
  </si>
  <si>
    <t>23-P2C1_408</t>
  </si>
  <si>
    <t>23-P2C1_409</t>
  </si>
  <si>
    <t>23-P2C1_410</t>
  </si>
  <si>
    <t>23-P2C1_411</t>
  </si>
  <si>
    <t>23-P2C1_412</t>
  </si>
  <si>
    <t>23-P2C1_413</t>
  </si>
  <si>
    <t>23-P2C1_414</t>
  </si>
  <si>
    <t>23-P2C1_415</t>
  </si>
  <si>
    <t>23-P2C1_416</t>
  </si>
  <si>
    <t>23-P2C1_501</t>
  </si>
  <si>
    <t>23-P2C1_502</t>
  </si>
  <si>
    <t>23-P2C1_503</t>
  </si>
  <si>
    <t>23-P2C1_504</t>
  </si>
  <si>
    <t>23-P2C1_505</t>
  </si>
  <si>
    <t>23-P2C1_506</t>
  </si>
  <si>
    <t>23-P2C1_507</t>
  </si>
  <si>
    <t>23-P2C1_508</t>
  </si>
  <si>
    <t>23-P2C1_509</t>
  </si>
  <si>
    <t>23-P2C1_510</t>
  </si>
  <si>
    <t>23-P2C1_511</t>
  </si>
  <si>
    <t>23-P2C1_512</t>
  </si>
  <si>
    <t>23-P2C1_513</t>
  </si>
  <si>
    <t>23-P2C1_514</t>
  </si>
  <si>
    <t>23-P2C1_515</t>
  </si>
  <si>
    <t>23-P2C1_516</t>
  </si>
  <si>
    <t>23-CER_IPM3</t>
  </si>
  <si>
    <t>CER_IPM3</t>
  </si>
  <si>
    <t>P3C1</t>
  </si>
  <si>
    <t>RRS3</t>
  </si>
  <si>
    <t>23-P3C1_208</t>
  </si>
  <si>
    <t>23-P3C1_209</t>
  </si>
  <si>
    <t>23-P3C1_210</t>
  </si>
  <si>
    <t>23-P3C1_211</t>
  </si>
  <si>
    <t>23-P3C1_212</t>
  </si>
  <si>
    <t>23-P3C1_213</t>
  </si>
  <si>
    <t>23-P3C1_214</t>
  </si>
  <si>
    <t>23-P3C1_215</t>
  </si>
  <si>
    <t>23-P3C1_301</t>
  </si>
  <si>
    <t>23-P3C1_302</t>
  </si>
  <si>
    <t>23-P3C1_303</t>
  </si>
  <si>
    <t>23-P3C1_304</t>
  </si>
  <si>
    <t>23-P3C1_305</t>
  </si>
  <si>
    <t>23-P3C1_306</t>
  </si>
  <si>
    <t>23-P3C1_307</t>
  </si>
  <si>
    <t>23-P3C1_308</t>
  </si>
  <si>
    <t>23-P3C1_309</t>
  </si>
  <si>
    <t>23-P3C1_310</t>
  </si>
  <si>
    <t>23-P3C1_311</t>
  </si>
  <si>
    <t>23-P3C1_312</t>
  </si>
  <si>
    <t>23-P3C1_313</t>
  </si>
  <si>
    <t>23-P3C1_314</t>
  </si>
  <si>
    <t>23-P3C1_315</t>
  </si>
  <si>
    <t>23-P3C1_401</t>
  </si>
  <si>
    <t>23-P3C1_402</t>
  </si>
  <si>
    <t>23-P3C1_403</t>
  </si>
  <si>
    <t>23-P3C1_404</t>
  </si>
  <si>
    <t>23-P3C1_405</t>
  </si>
  <si>
    <t>23-P3C1_406</t>
  </si>
  <si>
    <t>23-P3C1_407</t>
  </si>
  <si>
    <t>23-P3C1_408</t>
  </si>
  <si>
    <t>23-P3C1_409</t>
  </si>
  <si>
    <t>23-P3C1_410</t>
  </si>
  <si>
    <t>23-P3C1_411</t>
  </si>
  <si>
    <t>23-P3C1_412</t>
  </si>
  <si>
    <t>23-P3C1_413</t>
  </si>
  <si>
    <t>23-P3C1_414</t>
  </si>
  <si>
    <t>23-P3C1_415</t>
  </si>
  <si>
    <t>23-CER_IPM4</t>
  </si>
  <si>
    <t>CER_IPM4</t>
  </si>
  <si>
    <t>P4C1</t>
  </si>
  <si>
    <t>LA</t>
  </si>
  <si>
    <t>23-P4C1_101</t>
  </si>
  <si>
    <t>23-P4C1_102</t>
  </si>
  <si>
    <t>23-P4C1_103</t>
  </si>
  <si>
    <t>23-P4C1_104</t>
  </si>
  <si>
    <t>23-P4C1_105</t>
  </si>
  <si>
    <t>23-P4C1_106</t>
  </si>
  <si>
    <t>23-P4C1_107</t>
  </si>
  <si>
    <t>23-P4C1_108</t>
  </si>
  <si>
    <t>23-P4C1_109</t>
  </si>
  <si>
    <t>23-P4C1_110</t>
  </si>
  <si>
    <t>23-P4C1_111</t>
  </si>
  <si>
    <t>23-P4C1_112</t>
  </si>
  <si>
    <t>23-P4C1_113</t>
  </si>
  <si>
    <t>23-P4C1_114</t>
  </si>
  <si>
    <t>23-P4C1_201</t>
  </si>
  <si>
    <t>23-P4C1_202</t>
  </si>
  <si>
    <t>23-P4C1_203</t>
  </si>
  <si>
    <t>23-P4C1_204</t>
  </si>
  <si>
    <t>23-P4C1_205</t>
  </si>
  <si>
    <t>23-P4C1_206</t>
  </si>
  <si>
    <t>23-P4C1_207</t>
  </si>
  <si>
    <t>P</t>
  </si>
  <si>
    <t>PURPLE</t>
  </si>
  <si>
    <t>23-P4C1_208</t>
  </si>
  <si>
    <t>23-P4C1_209</t>
  </si>
  <si>
    <t>23-P4C1_210</t>
  </si>
  <si>
    <t>23-P4C1_211</t>
  </si>
  <si>
    <t>23-P4C1_212</t>
  </si>
  <si>
    <t>23-P4C1_213</t>
  </si>
  <si>
    <t>23-P4C1_214</t>
  </si>
  <si>
    <t>23-P4C1_301</t>
  </si>
  <si>
    <t>23-P4C1_302</t>
  </si>
  <si>
    <t>23-P4C1_303</t>
  </si>
  <si>
    <t>23-P4C1_304</t>
  </si>
  <si>
    <t>23-P4C1_305</t>
  </si>
  <si>
    <t>23-P4C1_306</t>
  </si>
  <si>
    <t>23-P4C1_307</t>
  </si>
  <si>
    <t>23-P4C1_308</t>
  </si>
  <si>
    <t>23-P4C1_309</t>
  </si>
  <si>
    <t>23-P4C1_310</t>
  </si>
  <si>
    <t>23-P4C1_311</t>
  </si>
  <si>
    <t>23-P4C1_312</t>
  </si>
  <si>
    <t>23-P4C1_313</t>
  </si>
  <si>
    <t>23-P4C1_314</t>
  </si>
  <si>
    <t>23-P4C1_401</t>
  </si>
  <si>
    <t>23-P4C1_402</t>
  </si>
  <si>
    <t>23-P4C1_403</t>
  </si>
  <si>
    <t>23-P4C1_404</t>
  </si>
  <si>
    <t>23-P4C1_405</t>
  </si>
  <si>
    <t>23-P4C1_406</t>
  </si>
  <si>
    <t>23-P4C1_407</t>
  </si>
  <si>
    <t>23-P4C1_408</t>
  </si>
  <si>
    <t>23-P4C1_409</t>
  </si>
  <si>
    <t>23-P4C1_410</t>
  </si>
  <si>
    <t>23-P4C1_411</t>
  </si>
  <si>
    <t>23-P4C1_412</t>
  </si>
  <si>
    <t>23-P4C1_413</t>
  </si>
  <si>
    <t>23-P4C1_414</t>
  </si>
  <si>
    <t>23-P4C1_501</t>
  </si>
  <si>
    <t>23-P4C1_502</t>
  </si>
  <si>
    <t>23-P4C1_503</t>
  </si>
  <si>
    <t>23-P4C1_504</t>
  </si>
  <si>
    <t>23-P4C1_505</t>
  </si>
  <si>
    <t>23-P4C1_506</t>
  </si>
  <si>
    <t>23-P4C1_507</t>
  </si>
  <si>
    <t>23-P4C1_508</t>
  </si>
  <si>
    <t>23-P4C1_509</t>
  </si>
  <si>
    <t>23-P4C1_510</t>
  </si>
  <si>
    <t>23-P4C1_511</t>
  </si>
  <si>
    <t>23-P4C1_512</t>
  </si>
  <si>
    <t>23-P4C1_513</t>
  </si>
  <si>
    <t>23-P4C1_514</t>
  </si>
  <si>
    <t>23-P4C1_601</t>
  </si>
  <si>
    <t>23-P4C1_602</t>
  </si>
  <si>
    <t>23-P4C1_603</t>
  </si>
  <si>
    <t>23-P4C1_604</t>
  </si>
  <si>
    <t>23-P4C1_605</t>
  </si>
  <si>
    <t>23-P4C1_606</t>
  </si>
  <si>
    <t>23-P4C1_607</t>
  </si>
  <si>
    <t>23-P4C1_608</t>
  </si>
  <si>
    <t>23-P4C1_609</t>
  </si>
  <si>
    <t>23-P4C1_610</t>
  </si>
  <si>
    <t>23-P4C1_611</t>
  </si>
  <si>
    <t>23-P4C1_612</t>
  </si>
  <si>
    <t>23-P4C1_613</t>
  </si>
  <si>
    <t>23-P4C1_614</t>
  </si>
  <si>
    <t>24-CER_IPM2</t>
  </si>
  <si>
    <t>24-P2C1_101</t>
  </si>
  <si>
    <t>24-P2C1_102</t>
  </si>
  <si>
    <t>DG263L</t>
  </si>
  <si>
    <t>24-P2C1_103</t>
  </si>
  <si>
    <t>24-P2C1_104</t>
  </si>
  <si>
    <t>Jupiter</t>
  </si>
  <si>
    <t>24-P2C1_105</t>
  </si>
  <si>
    <t>24-P2C1_106</t>
  </si>
  <si>
    <t>24-P2C1_107</t>
  </si>
  <si>
    <t>24-P2C1_108</t>
  </si>
  <si>
    <t>24-P2C1_109</t>
  </si>
  <si>
    <t>24-P2C1_110</t>
  </si>
  <si>
    <t>24-P2C1_111</t>
  </si>
  <si>
    <t>24-P2C1_112</t>
  </si>
  <si>
    <t>24-P2C1_113</t>
  </si>
  <si>
    <t>24-P2C1_114</t>
  </si>
  <si>
    <t>24-P2C1_115</t>
  </si>
  <si>
    <t>24-P2C1_201</t>
  </si>
  <si>
    <t>24-P2C1_202</t>
  </si>
  <si>
    <t>24-P2C1_203</t>
  </si>
  <si>
    <t>24-P2C1_204</t>
  </si>
  <si>
    <t>24-P2C1_205</t>
  </si>
  <si>
    <t>24-P2C1_206</t>
  </si>
  <si>
    <t>24-P2C1_207</t>
  </si>
  <si>
    <t>24-P2C1_208</t>
  </si>
  <si>
    <t>24-P2C1_209</t>
  </si>
  <si>
    <t>24-P2C1_210</t>
  </si>
  <si>
    <t>24-P2C1_211</t>
  </si>
  <si>
    <t>24-P2C1_212</t>
  </si>
  <si>
    <t>24-P2C1_213</t>
  </si>
  <si>
    <t>24-P2C1_214</t>
  </si>
  <si>
    <t>24-P2C1_215</t>
  </si>
  <si>
    <t>24-P2C1_301</t>
  </si>
  <si>
    <t>24-P2C1_302</t>
  </si>
  <si>
    <t>24-P2C1_303</t>
  </si>
  <si>
    <t>24-P2C1_304</t>
  </si>
  <si>
    <t>24-P2C1_305</t>
  </si>
  <si>
    <t>24-P2C1_306</t>
  </si>
  <si>
    <t>24-P2C1_307</t>
  </si>
  <si>
    <t>24-P2C1_308</t>
  </si>
  <si>
    <t>24-P2C1_309</t>
  </si>
  <si>
    <t>24-P2C1_310</t>
  </si>
  <si>
    <t>24-P2C1_311</t>
  </si>
  <si>
    <t>24-P2C1_312</t>
  </si>
  <si>
    <t>24-P2C1_313</t>
  </si>
  <si>
    <t>24-P2C1_314</t>
  </si>
  <si>
    <t>24-P2C1_315</t>
  </si>
  <si>
    <t>24-P2C1_401</t>
  </si>
  <si>
    <t>24-P2C1_402</t>
  </si>
  <si>
    <t>24-P2C1_403</t>
  </si>
  <si>
    <t>24-P2C1_404</t>
  </si>
  <si>
    <t>24-P2C1_405</t>
  </si>
  <si>
    <t>24-P2C1_406</t>
  </si>
  <si>
    <t>24-P2C1_407</t>
  </si>
  <si>
    <t>24-P2C1_408</t>
  </si>
  <si>
    <t>24-P2C1_409</t>
  </si>
  <si>
    <t>24-P2C1_410</t>
  </si>
  <si>
    <t>24-P2C1_411</t>
  </si>
  <si>
    <t>24-P2C1_412</t>
  </si>
  <si>
    <t>24-P2C1_413</t>
  </si>
  <si>
    <t>24-P2C1_414</t>
  </si>
  <si>
    <t>24-P2C1_415</t>
  </si>
  <si>
    <t>24-CER_IPM3</t>
  </si>
  <si>
    <t>24-P3C1_101</t>
  </si>
  <si>
    <t>24-P3C1_102</t>
  </si>
  <si>
    <t>24-P3C1_103</t>
  </si>
  <si>
    <t>24-P3C1_104</t>
  </si>
  <si>
    <t>24-P3C1_105</t>
  </si>
  <si>
    <t>24-P3C1_106</t>
  </si>
  <si>
    <t>24-P3C1_107</t>
  </si>
  <si>
    <t>24-P3C1_108</t>
  </si>
  <si>
    <t>24-P3C1_109</t>
  </si>
  <si>
    <t>24-P3C1_110</t>
  </si>
  <si>
    <t>24-P3C1_201</t>
  </si>
  <si>
    <t>24-P3C1_202</t>
  </si>
  <si>
    <t>24-P3C1_203</t>
  </si>
  <si>
    <t>24-P3C1_204</t>
  </si>
  <si>
    <t>24-P3C1_205</t>
  </si>
  <si>
    <t>24-P3C1_206</t>
  </si>
  <si>
    <t>24-P3C1_207</t>
  </si>
  <si>
    <t>24-P3C1_208</t>
  </si>
  <si>
    <t>24-P3C1_209</t>
  </si>
  <si>
    <t>24-P3C1_210</t>
  </si>
  <si>
    <t>24-P3C1_301</t>
  </si>
  <si>
    <t>24-P3C1_302</t>
  </si>
  <si>
    <t>24-P3C1_303</t>
  </si>
  <si>
    <t>24-P3C1_304</t>
  </si>
  <si>
    <t>24-P3C1_305</t>
  </si>
  <si>
    <t>24-P3C1_306</t>
  </si>
  <si>
    <t>24-P3C1_307</t>
  </si>
  <si>
    <t>24-P3C1_308</t>
  </si>
  <si>
    <t>24-P3C1_309</t>
  </si>
  <si>
    <t>24-P3C1_310</t>
  </si>
  <si>
    <t>24-P3C1_401</t>
  </si>
  <si>
    <t>24-P3C1_402</t>
  </si>
  <si>
    <t>24-P3C1_403</t>
  </si>
  <si>
    <t>24-P3C1_404</t>
  </si>
  <si>
    <t>24-P3C1_405</t>
  </si>
  <si>
    <t>24-P3C1_406</t>
  </si>
  <si>
    <t>24-P3C1_407</t>
  </si>
  <si>
    <t>24-P3C1_408</t>
  </si>
  <si>
    <t>24-P3C1_409</t>
  </si>
  <si>
    <t>24-P3C1_410</t>
  </si>
  <si>
    <t>24-P3C1_501</t>
  </si>
  <si>
    <t>24-P3C1_502</t>
  </si>
  <si>
    <t>24-P3C1_503</t>
  </si>
  <si>
    <t>24-P3C1_504</t>
  </si>
  <si>
    <t>24-P3C1_505</t>
  </si>
  <si>
    <t>24-P3C1_506</t>
  </si>
  <si>
    <t>24-P3C1_507</t>
  </si>
  <si>
    <t>24-P3C1_508</t>
  </si>
  <si>
    <t>24-P3C1_509</t>
  </si>
  <si>
    <t>24-P3C1_510</t>
  </si>
  <si>
    <t>24-P3C1_601</t>
  </si>
  <si>
    <t>24-P3C1_602</t>
  </si>
  <si>
    <t>24-P3C1_603</t>
  </si>
  <si>
    <t>24-P3C1_604</t>
  </si>
  <si>
    <t>24-P3C1_605</t>
  </si>
  <si>
    <t>24-P3C1_606</t>
  </si>
  <si>
    <t>24-P3C1_607</t>
  </si>
  <si>
    <t>24-P3C1_608</t>
  </si>
  <si>
    <t>24-P3C1_609</t>
  </si>
  <si>
    <t>24-P3C1_610</t>
  </si>
  <si>
    <t>24-CER_IPM4</t>
  </si>
  <si>
    <t>24-P4C1_101</t>
  </si>
  <si>
    <t>24-P4C1_102</t>
  </si>
  <si>
    <t>24-P4C1_103</t>
  </si>
  <si>
    <t>24-P4C1_104</t>
  </si>
  <si>
    <t>24-P4C1_105</t>
  </si>
  <si>
    <t>24-P4C1_106</t>
  </si>
  <si>
    <t>24-P4C1_107</t>
  </si>
  <si>
    <t>24-P4C1_108</t>
  </si>
  <si>
    <t>24-P4C1_109</t>
  </si>
  <si>
    <t>24-P4C1_110</t>
  </si>
  <si>
    <t>24-P4C1_201</t>
  </si>
  <si>
    <t>24-P4C1_202</t>
  </si>
  <si>
    <t>24-P4C1_203</t>
  </si>
  <si>
    <t>24-P4C1_204</t>
  </si>
  <si>
    <t>24-P4C1_205</t>
  </si>
  <si>
    <t>24-P4C1_206</t>
  </si>
  <si>
    <t>24-P4C1_207</t>
  </si>
  <si>
    <t>24-P4C1_208</t>
  </si>
  <si>
    <t>24-P4C1_209</t>
  </si>
  <si>
    <t>24-P4C1_210</t>
  </si>
  <si>
    <t>24-P4C1_301</t>
  </si>
  <si>
    <t>24-P4C1_302</t>
  </si>
  <si>
    <t>24-P4C1_303</t>
  </si>
  <si>
    <t>24-P4C1_304</t>
  </si>
  <si>
    <t>24-P4C1_305</t>
  </si>
  <si>
    <t>24-P4C1_306</t>
  </si>
  <si>
    <t>24-P4C1_307</t>
  </si>
  <si>
    <t>24-P4C1_308</t>
  </si>
  <si>
    <t>24-P4C1_309</t>
  </si>
  <si>
    <t>24-P4C1_310</t>
  </si>
  <si>
    <t>24-P4C1_401</t>
  </si>
  <si>
    <t>24-P4C1_402</t>
  </si>
  <si>
    <t>24-P4C1_403</t>
  </si>
  <si>
    <t>24-P4C1_404</t>
  </si>
  <si>
    <t>24-P4C1_405</t>
  </si>
  <si>
    <t>24-P4C1_406</t>
  </si>
  <si>
    <t>24-P4C1_407</t>
  </si>
  <si>
    <t>24-P4C1_408</t>
  </si>
  <si>
    <t>24-P4C1_409</t>
  </si>
  <si>
    <t>24-P4C1_410</t>
  </si>
  <si>
    <t>24-P4C1_501</t>
  </si>
  <si>
    <t>24-P4C1_502</t>
  </si>
  <si>
    <t>24-P4C1_503</t>
  </si>
  <si>
    <t>24-P4C1_504</t>
  </si>
  <si>
    <t>24-P4C1_505</t>
  </si>
  <si>
    <t>24-P4C1_506</t>
  </si>
  <si>
    <t>24-P4C1_507</t>
  </si>
  <si>
    <t>24-P4C1_508</t>
  </si>
  <si>
    <t>24-P4C1_509</t>
  </si>
  <si>
    <t>24-P4C1_510</t>
  </si>
  <si>
    <t>24-P4C1_601</t>
  </si>
  <si>
    <t>24-P4C1_602</t>
  </si>
  <si>
    <t>24-P4C1_603</t>
  </si>
  <si>
    <t>24-P4C1_604</t>
  </si>
  <si>
    <t>24-P4C1_605</t>
  </si>
  <si>
    <t>24-P4C1_606</t>
  </si>
  <si>
    <t>24-P4C1_607</t>
  </si>
  <si>
    <t>24-P4C1_608</t>
  </si>
  <si>
    <t>24-P4C1_609</t>
  </si>
  <si>
    <t>24-P4C1_610</t>
  </si>
  <si>
    <t>24-P4C1_701</t>
  </si>
  <si>
    <t>24-P4C1_702</t>
  </si>
  <si>
    <t>24-P4C1_703</t>
  </si>
  <si>
    <t>24-P4C1_704</t>
  </si>
  <si>
    <t>24-P4C1_705</t>
  </si>
  <si>
    <t>24-P4C1_706</t>
  </si>
  <si>
    <t>24-P4C1_707</t>
  </si>
  <si>
    <t>24-P4C1_708</t>
  </si>
  <si>
    <t>24-P4C1_709</t>
  </si>
  <si>
    <t>24-P4C1_710</t>
  </si>
  <si>
    <t>24-P4C1_801</t>
  </si>
  <si>
    <t>24-P4C1_802</t>
  </si>
  <si>
    <t>24-P4C1_803</t>
  </si>
  <si>
    <t>24-P4C1_804</t>
  </si>
  <si>
    <t>24-P4C1_805</t>
  </si>
  <si>
    <t>24-P4C1_806</t>
  </si>
  <si>
    <t>24-P4C1_807</t>
  </si>
  <si>
    <t>24-P4C1_808</t>
  </si>
  <si>
    <t>24-P4C1_809</t>
  </si>
  <si>
    <t>24-P4C1_810</t>
  </si>
  <si>
    <t>UTC</t>
  </si>
  <si>
    <t>25-CER_IPM2</t>
  </si>
  <si>
    <t>25-P2C1_101</t>
  </si>
  <si>
    <t>25-P2C1_102</t>
  </si>
  <si>
    <t>25-P2C1_103</t>
  </si>
  <si>
    <t>25-P2C1_104</t>
  </si>
  <si>
    <t>25-P2C1_105</t>
  </si>
  <si>
    <t>25-P2C1_106</t>
  </si>
  <si>
    <t>25-P2C1_107</t>
  </si>
  <si>
    <t>25-P2C1_201</t>
  </si>
  <si>
    <t>25-P2C1_202</t>
  </si>
  <si>
    <t>25-P2C1_203</t>
  </si>
  <si>
    <t>25-P2C1_204</t>
  </si>
  <si>
    <t>25-P2C1_205</t>
  </si>
  <si>
    <t>25-P2C1_206</t>
  </si>
  <si>
    <t>25-P2C1_207</t>
  </si>
  <si>
    <t>25-P2C1_301</t>
  </si>
  <si>
    <t>25-P2C1_302</t>
  </si>
  <si>
    <t>25-P2C1_303</t>
  </si>
  <si>
    <t>25-P2C1_304</t>
  </si>
  <si>
    <t>25-P2C1_305</t>
  </si>
  <si>
    <t>25-P2C1_306</t>
  </si>
  <si>
    <t>25-P2C1_307</t>
  </si>
  <si>
    <t>25-P2C1_401</t>
  </si>
  <si>
    <t>25-P2C1_402</t>
  </si>
  <si>
    <t>25-P2C1_403</t>
  </si>
  <si>
    <t>25-P2C1_404</t>
  </si>
  <si>
    <t>25-P2C1_405</t>
  </si>
  <si>
    <t>25-P2C1_406</t>
  </si>
  <si>
    <t>25-P2C1_407</t>
  </si>
  <si>
    <t>25-P2C1_501</t>
  </si>
  <si>
    <t>25-P2C1_502</t>
  </si>
  <si>
    <t>25-P2C1_503</t>
  </si>
  <si>
    <t>25-P2C1_504</t>
  </si>
  <si>
    <t>25-P2C1_505</t>
  </si>
  <si>
    <t>25-P2C1_506</t>
  </si>
  <si>
    <t>25-P2C1_507</t>
  </si>
  <si>
    <t>25-P2C1_601</t>
  </si>
  <si>
    <t>25-P2C1_602</t>
  </si>
  <si>
    <t>25-P2C1_603</t>
  </si>
  <si>
    <t>25-P2C1_604</t>
  </si>
  <si>
    <t>25-P2C1_605</t>
  </si>
  <si>
    <t>25-P2C1_606</t>
  </si>
  <si>
    <t>25-P2C1_607</t>
  </si>
  <si>
    <t>25-P2C1_701</t>
  </si>
  <si>
    <t>25-P2C1_702</t>
  </si>
  <si>
    <t>25-P2C1_703</t>
  </si>
  <si>
    <t>25-P2C1_704</t>
  </si>
  <si>
    <t>25-P2C1_705</t>
  </si>
  <si>
    <t>25-P2C1_706</t>
  </si>
  <si>
    <t>25-P2C1_707</t>
  </si>
  <si>
    <t>25-P2C1_801</t>
  </si>
  <si>
    <t>25-P2C1_802</t>
  </si>
  <si>
    <t>25-P2C1_803</t>
  </si>
  <si>
    <t>25-P2C1_804</t>
  </si>
  <si>
    <t>25-P2C1_805</t>
  </si>
  <si>
    <t>25-P2C1_806</t>
  </si>
  <si>
    <t>25-P2C1_807</t>
  </si>
  <si>
    <t>25-P2C1_901</t>
  </si>
  <si>
    <t>25-P2C1_902</t>
  </si>
  <si>
    <t>25-P2C1_903</t>
  </si>
  <si>
    <t>25-P2C1_904</t>
  </si>
  <si>
    <t>25-P2C1_905</t>
  </si>
  <si>
    <t>25-P2C1_906</t>
  </si>
  <si>
    <t>25-P2C1_907</t>
  </si>
  <si>
    <t>Head/Flor</t>
  </si>
  <si>
    <t>stage</t>
  </si>
  <si>
    <t>25-CER_IPM3</t>
  </si>
  <si>
    <t>25-P3C1_101</t>
  </si>
  <si>
    <t>25-P3C1_102</t>
  </si>
  <si>
    <t>25-P3C1_103</t>
  </si>
  <si>
    <t>25-P3C1_104</t>
  </si>
  <si>
    <t>25-P3C1_201</t>
  </si>
  <si>
    <t>25-P3C1_202</t>
  </si>
  <si>
    <t>25-P3C1_203</t>
  </si>
  <si>
    <t>25-P3C1_204</t>
  </si>
  <si>
    <t>25-P3C1_301</t>
  </si>
  <si>
    <t>25-P3C1_302</t>
  </si>
  <si>
    <t>25-P3C1_303</t>
  </si>
  <si>
    <t>25-P3C1_304</t>
  </si>
  <si>
    <t>25-P3C1_401</t>
  </si>
  <si>
    <t>25-P3C1_402</t>
  </si>
  <si>
    <t>25-P3C1_403</t>
  </si>
  <si>
    <t>25-P3C1_404</t>
  </si>
  <si>
    <t>25-P3C1_501</t>
  </si>
  <si>
    <t>25-P3C1_502</t>
  </si>
  <si>
    <t>25-P3C1_503</t>
  </si>
  <si>
    <t>25-P3C1_504</t>
  </si>
  <si>
    <t>25-P3C1_601</t>
  </si>
  <si>
    <t>25-P3C1_602</t>
  </si>
  <si>
    <t>25-P3C1_603</t>
  </si>
  <si>
    <t>25-P3C1_604</t>
  </si>
  <si>
    <t>25-CER_IPM4</t>
  </si>
  <si>
    <t>25-P4C1_101</t>
  </si>
  <si>
    <t>25-P4C1_102</t>
  </si>
  <si>
    <t>25-P4C1_103</t>
  </si>
  <si>
    <t>25-P4C1_104</t>
  </si>
  <si>
    <t>25-P4C1_105</t>
  </si>
  <si>
    <t>25-P4C1_106</t>
  </si>
  <si>
    <t>25-P4C1_201</t>
  </si>
  <si>
    <t>25-P4C1_202</t>
  </si>
  <si>
    <t>25-P4C1_203</t>
  </si>
  <si>
    <t>25-P4C1_204</t>
  </si>
  <si>
    <t>25-P4C1_205</t>
  </si>
  <si>
    <t>25-P4C1_206</t>
  </si>
  <si>
    <t>25-P4C1_301</t>
  </si>
  <si>
    <t>25-P4C1_302</t>
  </si>
  <si>
    <t>25-P4C1_303</t>
  </si>
  <si>
    <t>25-P4C1_304</t>
  </si>
  <si>
    <t>25-P4C1_305</t>
  </si>
  <si>
    <t>25-P4C1_306</t>
  </si>
  <si>
    <t>25-P4C1_401</t>
  </si>
  <si>
    <t>25-P4C1_402</t>
  </si>
  <si>
    <t>25-P4C1_403</t>
  </si>
  <si>
    <t>25-P4C1_404</t>
  </si>
  <si>
    <t>25-P4C1_405</t>
  </si>
  <si>
    <t>25-P4C1_406</t>
  </si>
  <si>
    <t>kg_ha1</t>
  </si>
  <si>
    <t>LB</t>
  </si>
  <si>
    <t>EB</t>
  </si>
  <si>
    <t>Check</t>
  </si>
  <si>
    <t>23-P3C1_101</t>
  </si>
  <si>
    <t>23-P3C1_102</t>
  </si>
  <si>
    <t>23-P3C1_103</t>
  </si>
  <si>
    <t>23-P3C1_104</t>
  </si>
  <si>
    <t>23-P3C1_105</t>
  </si>
  <si>
    <t>23-P3C1_106</t>
  </si>
  <si>
    <t>23-P3C1_107</t>
  </si>
  <si>
    <t>23-P3C1_108</t>
  </si>
  <si>
    <t>23-P3C1_109</t>
  </si>
  <si>
    <t>23-P3C1_110</t>
  </si>
  <si>
    <t>23-P3C1_111</t>
  </si>
  <si>
    <t>23-P3C1_112</t>
  </si>
  <si>
    <t>23-P3C1_113</t>
  </si>
  <si>
    <t>23-P3C1_114</t>
  </si>
  <si>
    <t>23-P3C1_115</t>
  </si>
  <si>
    <t>23-P3C1_201</t>
  </si>
  <si>
    <t>23-P3C1_202</t>
  </si>
  <si>
    <t>23-P3C1_203</t>
  </si>
  <si>
    <t>23-P3C1_204</t>
  </si>
  <si>
    <t>23-P3C1_205</t>
  </si>
  <si>
    <t>23-P3C1_206</t>
  </si>
  <si>
    <t>23-P3C1_207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</si>
</sst>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9C3F-791D-4DD0-83AD-DB8372CB8CEE}">
  <dimension ref="A1:V1164"/>
  <sheetViews>
    <sheetView zoomScaleNormal="100" workbookViewId="0">
      <pane ySplit="1" topLeftCell="A378" activePane="bottomLeft" state="frozen"/>
      <selection pane="bottomLeft" activeCell="R396" sqref="R396"/>
    </sheetView>
  </sheetViews>
  <sheetFormatPr defaultColWidth="8.85546875" defaultRowHeight="15" x14ac:dyDescent="0.25"/>
  <cols>
    <col min="1" max="1" width="7.140625" style="25" bestFit="1" customWidth="1"/>
    <col min="2" max="2" width="12.42578125" style="25" bestFit="1" customWidth="1"/>
    <col min="3" max="3" width="9.7109375" style="25" bestFit="1" customWidth="1"/>
    <col min="4" max="4" width="6.5703125" style="25" bestFit="1" customWidth="1"/>
    <col min="5" max="5" width="7.42578125" style="25" bestFit="1" customWidth="1"/>
    <col min="6" max="6" width="12" style="25" bestFit="1" customWidth="1"/>
    <col min="7" max="7" width="6.85546875" style="25" bestFit="1" customWidth="1"/>
    <col min="8" max="8" width="5.85546875" style="25" bestFit="1" customWidth="1"/>
    <col min="9" max="9" width="6.7109375" style="25" bestFit="1" customWidth="1"/>
    <col min="10" max="10" width="6" style="25" bestFit="1" customWidth="1"/>
    <col min="11" max="11" width="5.42578125" style="25" bestFit="1" customWidth="1"/>
    <col min="12" max="12" width="11.42578125" style="25" bestFit="1" customWidth="1"/>
    <col min="13" max="13" width="10.140625" style="25" bestFit="1" customWidth="1"/>
    <col min="14" max="14" width="7.140625" style="4" bestFit="1" customWidth="1"/>
    <col min="15" max="15" width="6" style="4" bestFit="1" customWidth="1"/>
    <col min="16" max="16" width="5.5703125" style="4" bestFit="1" customWidth="1"/>
    <col min="17" max="17" width="10.140625" style="5" bestFit="1" customWidth="1"/>
    <col min="18" max="18" width="8.5703125" style="5" bestFit="1" customWidth="1"/>
    <col min="19" max="19" width="8" style="5" bestFit="1" customWidth="1"/>
    <col min="20" max="21" width="6" style="4" bestFit="1" customWidth="1"/>
    <col min="22" max="22" width="5.42578125" style="4" bestFit="1" customWidth="1"/>
  </cols>
  <sheetData>
    <row r="1" spans="1:22" s="24" customForma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655</v>
      </c>
      <c r="S1" s="23" t="s">
        <v>18</v>
      </c>
      <c r="T1" s="23" t="s">
        <v>19</v>
      </c>
      <c r="U1" s="23" t="s">
        <v>20</v>
      </c>
      <c r="V1" s="23" t="s">
        <v>21</v>
      </c>
    </row>
    <row r="2" spans="1:22" x14ac:dyDescent="0.25">
      <c r="A2" s="4">
        <v>2023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>
        <v>101</v>
      </c>
      <c r="H2" s="3">
        <v>1</v>
      </c>
      <c r="I2" s="3">
        <v>1</v>
      </c>
      <c r="J2" s="3">
        <v>13</v>
      </c>
      <c r="K2" s="3">
        <v>1</v>
      </c>
      <c r="L2" s="2" t="s">
        <v>27</v>
      </c>
      <c r="M2" s="2" t="s">
        <v>658</v>
      </c>
      <c r="N2" s="3">
        <v>12.9</v>
      </c>
      <c r="O2" s="3">
        <v>15</v>
      </c>
      <c r="P2" s="3">
        <v>47.1</v>
      </c>
      <c r="Q2" s="9">
        <f>N2*(1-O2/100)/(1-0.12)</f>
        <v>12.460227272727273</v>
      </c>
      <c r="R2" s="9">
        <f>((10000*Q2*12%/2.205))/((4.66*16)/10.764)</f>
        <v>978.96328839768444</v>
      </c>
      <c r="S2" s="10">
        <f>R2/1.121</f>
        <v>873.29463728606993</v>
      </c>
      <c r="T2" s="7">
        <v>69.900000000000006</v>
      </c>
      <c r="U2" s="7">
        <v>51.7</v>
      </c>
    </row>
    <row r="3" spans="1:22" x14ac:dyDescent="0.25">
      <c r="A3" s="4">
        <v>2023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29</v>
      </c>
      <c r="G3" s="3">
        <v>102</v>
      </c>
      <c r="H3" s="3">
        <v>2</v>
      </c>
      <c r="I3" s="3">
        <v>1</v>
      </c>
      <c r="J3" s="3">
        <v>11</v>
      </c>
      <c r="K3" s="3">
        <v>1</v>
      </c>
      <c r="L3" s="2" t="s">
        <v>27</v>
      </c>
      <c r="M3" s="2" t="s">
        <v>30</v>
      </c>
      <c r="N3" s="3">
        <v>14.93</v>
      </c>
      <c r="O3" s="3">
        <v>18.100000000000001</v>
      </c>
      <c r="P3" s="3">
        <v>46.6</v>
      </c>
      <c r="Q3" s="9">
        <f t="shared" ref="Q3:Q66" si="0">N3*(1-O3/100)/(1-0.12)</f>
        <v>13.895079545454545</v>
      </c>
      <c r="R3" s="9">
        <f t="shared" ref="R3:R66" si="1">((10000*Q3*12%/2.205))/((4.66*16)/10.764)</f>
        <v>1091.6953974137448</v>
      </c>
      <c r="S3" s="10">
        <f t="shared" ref="S3:S66" si="2">R3/1.121</f>
        <v>973.8585168722077</v>
      </c>
      <c r="T3" s="7">
        <v>74.900000000000006</v>
      </c>
      <c r="U3" s="7">
        <v>69.599999999999994</v>
      </c>
    </row>
    <row r="4" spans="1:22" x14ac:dyDescent="0.25">
      <c r="A4" s="4">
        <v>2023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31</v>
      </c>
      <c r="G4" s="3">
        <v>103</v>
      </c>
      <c r="H4" s="3">
        <v>3</v>
      </c>
      <c r="I4" s="3">
        <v>1</v>
      </c>
      <c r="J4" s="3">
        <v>19</v>
      </c>
      <c r="K4" s="3">
        <v>1</v>
      </c>
      <c r="L4" s="2" t="s">
        <v>27</v>
      </c>
      <c r="M4" s="2" t="s">
        <v>658</v>
      </c>
      <c r="N4" s="3">
        <v>17.98</v>
      </c>
      <c r="O4" s="3">
        <v>20.3</v>
      </c>
      <c r="P4" s="3">
        <v>46.4</v>
      </c>
      <c r="Q4" s="9">
        <f t="shared" si="0"/>
        <v>16.284159090909089</v>
      </c>
      <c r="R4" s="9">
        <f t="shared" si="1"/>
        <v>1279.3983274542743</v>
      </c>
      <c r="S4" s="10">
        <f t="shared" si="2"/>
        <v>1141.3009165515382</v>
      </c>
      <c r="T4" s="7">
        <v>70.5</v>
      </c>
      <c r="U4" s="7">
        <v>64.3</v>
      </c>
    </row>
    <row r="5" spans="1:22" x14ac:dyDescent="0.25">
      <c r="A5" s="4">
        <v>2023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32</v>
      </c>
      <c r="G5" s="3">
        <v>104</v>
      </c>
      <c r="H5" s="3">
        <v>4</v>
      </c>
      <c r="I5" s="3">
        <v>1</v>
      </c>
      <c r="J5" s="3">
        <v>7</v>
      </c>
      <c r="K5" s="3">
        <v>1</v>
      </c>
      <c r="L5" s="2" t="s">
        <v>27</v>
      </c>
      <c r="M5" s="2" t="s">
        <v>658</v>
      </c>
      <c r="N5" s="3">
        <v>16.61</v>
      </c>
      <c r="O5" s="3">
        <v>12.7</v>
      </c>
      <c r="P5" s="3">
        <v>48.4</v>
      </c>
      <c r="Q5" s="9">
        <f t="shared" si="0"/>
        <v>16.477875000000001</v>
      </c>
      <c r="R5" s="9">
        <f t="shared" si="1"/>
        <v>1294.6180148024876</v>
      </c>
      <c r="S5" s="10">
        <f t="shared" si="2"/>
        <v>1154.8778008942797</v>
      </c>
      <c r="T5" s="7">
        <v>72.5</v>
      </c>
      <c r="U5" s="7">
        <v>56</v>
      </c>
    </row>
    <row r="6" spans="1:22" x14ac:dyDescent="0.25">
      <c r="A6" s="4">
        <v>2023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33</v>
      </c>
      <c r="G6" s="3">
        <v>105</v>
      </c>
      <c r="H6" s="3">
        <v>5</v>
      </c>
      <c r="I6" s="3">
        <v>1</v>
      </c>
      <c r="J6" s="3">
        <v>8</v>
      </c>
      <c r="K6" s="3">
        <v>1</v>
      </c>
      <c r="L6" s="2" t="s">
        <v>27</v>
      </c>
      <c r="M6" s="2" t="s">
        <v>30</v>
      </c>
      <c r="N6" s="3">
        <v>19.22</v>
      </c>
      <c r="O6" s="3">
        <v>13.6</v>
      </c>
      <c r="P6" s="3">
        <v>48.2</v>
      </c>
      <c r="Q6" s="9">
        <f t="shared" si="0"/>
        <v>18.870545454545454</v>
      </c>
      <c r="R6" s="9">
        <f t="shared" si="1"/>
        <v>1482.6030719740097</v>
      </c>
      <c r="S6" s="10">
        <f t="shared" si="2"/>
        <v>1322.5718750883227</v>
      </c>
      <c r="T6" s="7">
        <v>71.5</v>
      </c>
      <c r="U6" s="7">
        <v>55.9</v>
      </c>
    </row>
    <row r="7" spans="1:22" x14ac:dyDescent="0.25">
      <c r="A7" s="4">
        <v>2023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34</v>
      </c>
      <c r="G7" s="3">
        <v>106</v>
      </c>
      <c r="H7" s="3">
        <v>6</v>
      </c>
      <c r="I7" s="3">
        <v>1</v>
      </c>
      <c r="J7" s="3">
        <v>13</v>
      </c>
      <c r="K7" s="3">
        <v>2</v>
      </c>
      <c r="L7" s="2" t="s">
        <v>27</v>
      </c>
      <c r="M7" s="2" t="s">
        <v>658</v>
      </c>
      <c r="N7" s="3">
        <v>13.25</v>
      </c>
      <c r="O7" s="3">
        <v>14</v>
      </c>
      <c r="P7" s="3">
        <v>47.6</v>
      </c>
      <c r="Q7" s="9">
        <f t="shared" si="0"/>
        <v>12.948863636363637</v>
      </c>
      <c r="R7" s="9">
        <f t="shared" si="1"/>
        <v>1017.3540055897505</v>
      </c>
      <c r="S7" s="10">
        <f t="shared" si="2"/>
        <v>907.54148580709239</v>
      </c>
      <c r="T7" s="7">
        <v>70.5</v>
      </c>
      <c r="U7" s="7">
        <v>55.2</v>
      </c>
    </row>
    <row r="8" spans="1:22" x14ac:dyDescent="0.25">
      <c r="A8" s="4">
        <v>2023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35</v>
      </c>
      <c r="G8" s="3">
        <v>107</v>
      </c>
      <c r="H8" s="3">
        <v>7</v>
      </c>
      <c r="I8" s="3">
        <v>1</v>
      </c>
      <c r="J8" s="3">
        <v>11</v>
      </c>
      <c r="K8" s="3">
        <v>2</v>
      </c>
      <c r="L8" s="2" t="s">
        <v>27</v>
      </c>
      <c r="M8" s="2" t="s">
        <v>30</v>
      </c>
      <c r="N8" s="3">
        <v>16.100000000000001</v>
      </c>
      <c r="O8" s="3">
        <v>16.2</v>
      </c>
      <c r="P8" s="3">
        <v>47.3</v>
      </c>
      <c r="Q8" s="9">
        <f t="shared" si="0"/>
        <v>15.331590909090911</v>
      </c>
      <c r="R8" s="9">
        <f t="shared" si="1"/>
        <v>1204.5578563067834</v>
      </c>
      <c r="S8" s="10">
        <f t="shared" si="2"/>
        <v>1074.5386764556497</v>
      </c>
      <c r="T8" s="7">
        <v>75.7</v>
      </c>
      <c r="U8" s="7">
        <v>70.5</v>
      </c>
    </row>
    <row r="9" spans="1:22" x14ac:dyDescent="0.25">
      <c r="A9" s="4">
        <v>2023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36</v>
      </c>
      <c r="G9" s="3">
        <v>108</v>
      </c>
      <c r="H9" s="3">
        <v>8</v>
      </c>
      <c r="I9" s="3">
        <v>1</v>
      </c>
      <c r="J9" s="3">
        <v>19</v>
      </c>
      <c r="K9" s="3">
        <v>2</v>
      </c>
      <c r="L9" s="2" t="s">
        <v>27</v>
      </c>
      <c r="M9" s="2" t="s">
        <v>658</v>
      </c>
      <c r="N9" s="3">
        <v>11.88</v>
      </c>
      <c r="O9" s="3">
        <v>17.5</v>
      </c>
      <c r="P9" s="3">
        <v>47</v>
      </c>
      <c r="Q9" s="9">
        <f t="shared" si="0"/>
        <v>11.137499999999999</v>
      </c>
      <c r="R9" s="9">
        <f t="shared" si="1"/>
        <v>875.04050976613814</v>
      </c>
      <c r="S9" s="10">
        <f t="shared" si="2"/>
        <v>780.58921477800016</v>
      </c>
      <c r="T9" s="7">
        <v>70.7</v>
      </c>
      <c r="U9" s="7">
        <v>64.3</v>
      </c>
    </row>
    <row r="10" spans="1:22" x14ac:dyDescent="0.25">
      <c r="A10" s="4">
        <v>2023</v>
      </c>
      <c r="B10" s="3" t="s">
        <v>22</v>
      </c>
      <c r="C10" s="3" t="s">
        <v>23</v>
      </c>
      <c r="D10" s="3" t="s">
        <v>24</v>
      </c>
      <c r="E10" s="3" t="s">
        <v>25</v>
      </c>
      <c r="F10" s="3" t="s">
        <v>37</v>
      </c>
      <c r="G10" s="3">
        <v>109</v>
      </c>
      <c r="H10" s="3">
        <v>9</v>
      </c>
      <c r="I10" s="3">
        <v>1</v>
      </c>
      <c r="J10" s="3">
        <v>7</v>
      </c>
      <c r="K10" s="3">
        <v>2</v>
      </c>
      <c r="L10" s="2" t="s">
        <v>27</v>
      </c>
      <c r="M10" s="2" t="s">
        <v>658</v>
      </c>
      <c r="N10" s="3">
        <v>17.989999999999998</v>
      </c>
      <c r="O10" s="3">
        <v>13.5</v>
      </c>
      <c r="P10" s="3">
        <v>48.4</v>
      </c>
      <c r="Q10" s="9">
        <f t="shared" si="0"/>
        <v>17.683352272727273</v>
      </c>
      <c r="R10" s="9">
        <f t="shared" si="1"/>
        <v>1389.328806922691</v>
      </c>
      <c r="S10" s="10">
        <f t="shared" si="2"/>
        <v>1239.3655726339796</v>
      </c>
      <c r="T10" s="7">
        <v>71.8</v>
      </c>
      <c r="U10" s="7">
        <v>59.4</v>
      </c>
    </row>
    <row r="11" spans="1:22" x14ac:dyDescent="0.25">
      <c r="A11" s="4">
        <v>2023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38</v>
      </c>
      <c r="G11" s="3">
        <v>110</v>
      </c>
      <c r="H11" s="3">
        <v>10</v>
      </c>
      <c r="I11" s="3">
        <v>1</v>
      </c>
      <c r="J11" s="3">
        <v>8</v>
      </c>
      <c r="K11" s="3">
        <v>2</v>
      </c>
      <c r="L11" s="2" t="s">
        <v>27</v>
      </c>
      <c r="M11" s="2" t="s">
        <v>30</v>
      </c>
      <c r="N11" s="3">
        <v>18.829999999999998</v>
      </c>
      <c r="O11" s="3">
        <v>13.2</v>
      </c>
      <c r="P11" s="3">
        <v>48.4</v>
      </c>
      <c r="Q11" s="9">
        <f t="shared" si="0"/>
        <v>18.573227272727273</v>
      </c>
      <c r="R11" s="9">
        <f t="shared" si="1"/>
        <v>1459.2436597737026</v>
      </c>
      <c r="S11" s="10">
        <f t="shared" si="2"/>
        <v>1301.7338624207873</v>
      </c>
      <c r="T11" s="7">
        <v>71.8</v>
      </c>
      <c r="U11" s="7">
        <v>57.9</v>
      </c>
    </row>
    <row r="12" spans="1:22" x14ac:dyDescent="0.25">
      <c r="A12" s="4">
        <v>2023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39</v>
      </c>
      <c r="G12" s="3">
        <v>111</v>
      </c>
      <c r="H12" s="3">
        <v>11</v>
      </c>
      <c r="I12" s="3">
        <v>1</v>
      </c>
      <c r="J12" s="3">
        <v>13</v>
      </c>
      <c r="K12" s="3">
        <v>3</v>
      </c>
      <c r="L12" s="2" t="s">
        <v>27</v>
      </c>
      <c r="M12" s="2" t="s">
        <v>658</v>
      </c>
      <c r="N12" s="3">
        <v>13.13</v>
      </c>
      <c r="O12" s="3">
        <v>11.2</v>
      </c>
      <c r="P12" s="3">
        <v>48.8</v>
      </c>
      <c r="Q12" s="9">
        <f t="shared" si="0"/>
        <v>13.249363636363636</v>
      </c>
      <c r="R12" s="9">
        <f t="shared" si="1"/>
        <v>1040.9634038554943</v>
      </c>
      <c r="S12" s="10">
        <f t="shared" si="2"/>
        <v>928.60250120918317</v>
      </c>
      <c r="T12" s="7">
        <v>70.7</v>
      </c>
      <c r="U12" s="7">
        <v>52.7</v>
      </c>
    </row>
    <row r="13" spans="1:22" x14ac:dyDescent="0.25">
      <c r="A13" s="4">
        <v>2023</v>
      </c>
      <c r="B13" s="3" t="s">
        <v>22</v>
      </c>
      <c r="C13" s="3" t="s">
        <v>23</v>
      </c>
      <c r="D13" s="3" t="s">
        <v>24</v>
      </c>
      <c r="E13" s="3" t="s">
        <v>25</v>
      </c>
      <c r="F13" s="3" t="s">
        <v>40</v>
      </c>
      <c r="G13" s="3">
        <v>112</v>
      </c>
      <c r="H13" s="3">
        <v>12</v>
      </c>
      <c r="I13" s="3">
        <v>1</v>
      </c>
      <c r="J13" s="3">
        <v>11</v>
      </c>
      <c r="K13" s="3">
        <v>3</v>
      </c>
      <c r="L13" s="2" t="s">
        <v>27</v>
      </c>
      <c r="M13" s="2" t="s">
        <v>30</v>
      </c>
      <c r="N13" s="3">
        <v>14.79</v>
      </c>
      <c r="O13" s="3">
        <v>15.3</v>
      </c>
      <c r="P13" s="3">
        <v>47.7</v>
      </c>
      <c r="Q13" s="9">
        <f t="shared" si="0"/>
        <v>14.235374999999999</v>
      </c>
      <c r="R13" s="9">
        <f t="shared" si="1"/>
        <v>1118.431407112201</v>
      </c>
      <c r="S13" s="10">
        <f t="shared" si="2"/>
        <v>997.70865933291793</v>
      </c>
      <c r="T13" s="7">
        <v>75.3</v>
      </c>
      <c r="U13" s="7">
        <v>69.7</v>
      </c>
    </row>
    <row r="14" spans="1:22" x14ac:dyDescent="0.25">
      <c r="A14" s="4">
        <v>2023</v>
      </c>
      <c r="B14" s="3" t="s">
        <v>22</v>
      </c>
      <c r="C14" s="3" t="s">
        <v>23</v>
      </c>
      <c r="D14" s="3" t="s">
        <v>24</v>
      </c>
      <c r="E14" s="3" t="s">
        <v>25</v>
      </c>
      <c r="F14" s="3" t="s">
        <v>41</v>
      </c>
      <c r="G14" s="3">
        <v>113</v>
      </c>
      <c r="H14" s="3">
        <v>13</v>
      </c>
      <c r="I14" s="3">
        <v>1</v>
      </c>
      <c r="J14" s="3">
        <v>19</v>
      </c>
      <c r="K14" s="3">
        <v>3</v>
      </c>
      <c r="L14" s="2" t="s">
        <v>42</v>
      </c>
      <c r="M14" s="2" t="s">
        <v>658</v>
      </c>
      <c r="N14" s="3">
        <v>17.07</v>
      </c>
      <c r="O14" s="3">
        <v>16.8</v>
      </c>
      <c r="P14" s="3">
        <v>47.4</v>
      </c>
      <c r="Q14" s="9">
        <f t="shared" si="0"/>
        <v>16.138909090909092</v>
      </c>
      <c r="R14" s="9">
        <f t="shared" si="1"/>
        <v>1267.986463567089</v>
      </c>
      <c r="S14" s="10">
        <f t="shared" si="2"/>
        <v>1131.1208417190803</v>
      </c>
      <c r="T14" s="7">
        <v>70.3</v>
      </c>
      <c r="U14" s="7">
        <v>63.9</v>
      </c>
    </row>
    <row r="15" spans="1:22" x14ac:dyDescent="0.25">
      <c r="A15" s="4">
        <v>2023</v>
      </c>
      <c r="B15" s="3" t="s">
        <v>22</v>
      </c>
      <c r="C15" s="3" t="s">
        <v>23</v>
      </c>
      <c r="D15" s="3" t="s">
        <v>24</v>
      </c>
      <c r="E15" s="3" t="s">
        <v>25</v>
      </c>
      <c r="F15" s="3" t="s">
        <v>43</v>
      </c>
      <c r="G15" s="3">
        <v>114</v>
      </c>
      <c r="H15" s="3">
        <v>14</v>
      </c>
      <c r="I15" s="3">
        <v>1</v>
      </c>
      <c r="J15" s="3">
        <v>7</v>
      </c>
      <c r="K15" s="3">
        <v>3</v>
      </c>
      <c r="L15" s="2" t="s">
        <v>42</v>
      </c>
      <c r="M15" s="2" t="s">
        <v>658</v>
      </c>
      <c r="N15" s="3">
        <v>17.059999999999999</v>
      </c>
      <c r="O15" s="3">
        <v>10.6</v>
      </c>
      <c r="P15" s="3">
        <v>49.4</v>
      </c>
      <c r="Q15" s="9">
        <f t="shared" si="0"/>
        <v>17.331409090909087</v>
      </c>
      <c r="R15" s="9">
        <f t="shared" si="1"/>
        <v>1361.677669663261</v>
      </c>
      <c r="S15" s="10">
        <f t="shared" si="2"/>
        <v>1214.6990808771284</v>
      </c>
      <c r="T15" s="7">
        <v>71.099999999999994</v>
      </c>
      <c r="U15" s="7">
        <v>52.1</v>
      </c>
    </row>
    <row r="16" spans="1:22" x14ac:dyDescent="0.25">
      <c r="A16" s="4">
        <v>2023</v>
      </c>
      <c r="B16" s="3" t="s">
        <v>22</v>
      </c>
      <c r="C16" s="3" t="s">
        <v>23</v>
      </c>
      <c r="D16" s="3" t="s">
        <v>24</v>
      </c>
      <c r="E16" s="3" t="s">
        <v>25</v>
      </c>
      <c r="F16" s="3" t="s">
        <v>44</v>
      </c>
      <c r="G16" s="3">
        <v>115</v>
      </c>
      <c r="H16" s="3">
        <v>15</v>
      </c>
      <c r="I16" s="3">
        <v>1</v>
      </c>
      <c r="J16" s="3">
        <v>8</v>
      </c>
      <c r="K16" s="3">
        <v>3</v>
      </c>
      <c r="L16" s="2" t="s">
        <v>42</v>
      </c>
      <c r="M16" s="2" t="s">
        <v>30</v>
      </c>
      <c r="N16" s="3">
        <v>18.350000000000001</v>
      </c>
      <c r="O16" s="3">
        <v>10.8</v>
      </c>
      <c r="P16" s="3">
        <v>49.4</v>
      </c>
      <c r="Q16" s="9">
        <f t="shared" si="0"/>
        <v>18.600227272727274</v>
      </c>
      <c r="R16" s="9">
        <f t="shared" si="1"/>
        <v>1461.3649701004085</v>
      </c>
      <c r="S16" s="10">
        <f t="shared" si="2"/>
        <v>1303.6261999111584</v>
      </c>
      <c r="T16" s="7">
        <v>70.8</v>
      </c>
      <c r="U16" s="7">
        <v>52.5</v>
      </c>
    </row>
    <row r="17" spans="1:21" x14ac:dyDescent="0.25">
      <c r="A17" s="4">
        <v>2023</v>
      </c>
      <c r="B17" s="3" t="s">
        <v>22</v>
      </c>
      <c r="C17" s="3" t="s">
        <v>23</v>
      </c>
      <c r="D17" s="3" t="s">
        <v>24</v>
      </c>
      <c r="E17" s="3" t="s">
        <v>25</v>
      </c>
      <c r="F17" s="3" t="s">
        <v>45</v>
      </c>
      <c r="G17" s="3">
        <v>116</v>
      </c>
      <c r="H17" s="3">
        <v>16</v>
      </c>
      <c r="I17" s="3">
        <v>1</v>
      </c>
      <c r="J17" s="3">
        <v>13</v>
      </c>
      <c r="K17" s="3">
        <v>4</v>
      </c>
      <c r="L17" s="2" t="s">
        <v>42</v>
      </c>
      <c r="M17" s="2" t="s">
        <v>658</v>
      </c>
      <c r="N17" s="3">
        <v>13.05</v>
      </c>
      <c r="O17" s="3">
        <v>11.2</v>
      </c>
      <c r="P17" s="3">
        <v>48.6</v>
      </c>
      <c r="Q17" s="9">
        <f t="shared" si="0"/>
        <v>13.168636363636363</v>
      </c>
      <c r="R17" s="9">
        <f t="shared" si="1"/>
        <v>1034.6209002524145</v>
      </c>
      <c r="S17" s="10">
        <f t="shared" si="2"/>
        <v>922.94460325817522</v>
      </c>
      <c r="T17" s="7">
        <v>70.2</v>
      </c>
      <c r="U17" s="7">
        <v>51.7</v>
      </c>
    </row>
    <row r="18" spans="1:21" x14ac:dyDescent="0.25">
      <c r="A18" s="4">
        <v>2023</v>
      </c>
      <c r="B18" s="3" t="s">
        <v>22</v>
      </c>
      <c r="C18" s="3" t="s">
        <v>23</v>
      </c>
      <c r="D18" s="3" t="s">
        <v>24</v>
      </c>
      <c r="E18" s="3" t="s">
        <v>25</v>
      </c>
      <c r="F18" s="3" t="s">
        <v>46</v>
      </c>
      <c r="G18" s="3">
        <v>117</v>
      </c>
      <c r="H18" s="3">
        <v>17</v>
      </c>
      <c r="I18" s="3">
        <v>1</v>
      </c>
      <c r="J18" s="3">
        <v>11</v>
      </c>
      <c r="K18" s="3">
        <v>4</v>
      </c>
      <c r="L18" s="2" t="s">
        <v>42</v>
      </c>
      <c r="M18" s="2" t="s">
        <v>30</v>
      </c>
      <c r="N18" s="3">
        <v>14.71</v>
      </c>
      <c r="O18" s="3">
        <v>13.6</v>
      </c>
      <c r="P18" s="3">
        <v>48.3</v>
      </c>
      <c r="Q18" s="9">
        <f t="shared" si="0"/>
        <v>14.442545454545455</v>
      </c>
      <c r="R18" s="9">
        <f t="shared" si="1"/>
        <v>1134.7081783942606</v>
      </c>
      <c r="S18" s="10">
        <f t="shared" si="2"/>
        <v>1012.2285266674938</v>
      </c>
      <c r="T18" s="7">
        <v>75.3</v>
      </c>
      <c r="U18" s="7">
        <v>70.099999999999994</v>
      </c>
    </row>
    <row r="19" spans="1:21" x14ac:dyDescent="0.25">
      <c r="A19" s="4">
        <v>2023</v>
      </c>
      <c r="B19" s="3" t="s">
        <v>22</v>
      </c>
      <c r="C19" s="3" t="s">
        <v>23</v>
      </c>
      <c r="D19" s="3" t="s">
        <v>24</v>
      </c>
      <c r="E19" s="3" t="s">
        <v>25</v>
      </c>
      <c r="F19" s="3" t="s">
        <v>47</v>
      </c>
      <c r="G19" s="3">
        <v>118</v>
      </c>
      <c r="H19" s="3">
        <v>18</v>
      </c>
      <c r="I19" s="3">
        <v>1</v>
      </c>
      <c r="J19" s="3">
        <v>19</v>
      </c>
      <c r="K19" s="3">
        <v>4</v>
      </c>
      <c r="L19" s="2" t="s">
        <v>42</v>
      </c>
      <c r="M19" s="2" t="s">
        <v>658</v>
      </c>
      <c r="N19" s="3">
        <v>16.36</v>
      </c>
      <c r="O19" s="3">
        <v>15.1</v>
      </c>
      <c r="P19" s="3">
        <v>47.7</v>
      </c>
      <c r="Q19" s="9">
        <f t="shared" si="0"/>
        <v>15.783681818181819</v>
      </c>
      <c r="R19" s="9">
        <f t="shared" si="1"/>
        <v>1240.0773049758332</v>
      </c>
      <c r="S19" s="10">
        <f t="shared" si="2"/>
        <v>1106.2241792826344</v>
      </c>
      <c r="T19" s="7">
        <v>70.099999999999994</v>
      </c>
      <c r="U19" s="7">
        <v>62.9</v>
      </c>
    </row>
    <row r="20" spans="1:21" x14ac:dyDescent="0.25">
      <c r="A20" s="4">
        <v>2023</v>
      </c>
      <c r="B20" s="3" t="s">
        <v>22</v>
      </c>
      <c r="C20" s="3" t="s">
        <v>23</v>
      </c>
      <c r="D20" s="3" t="s">
        <v>24</v>
      </c>
      <c r="E20" s="3" t="s">
        <v>25</v>
      </c>
      <c r="F20" s="3" t="s">
        <v>48</v>
      </c>
      <c r="G20" s="3">
        <v>119</v>
      </c>
      <c r="H20" s="3">
        <v>19</v>
      </c>
      <c r="I20" s="3">
        <v>1</v>
      </c>
      <c r="J20" s="3">
        <v>7</v>
      </c>
      <c r="K20" s="3">
        <v>4</v>
      </c>
      <c r="L20" s="2" t="s">
        <v>42</v>
      </c>
      <c r="M20" s="2" t="s">
        <v>658</v>
      </c>
      <c r="N20" s="3">
        <v>15.52</v>
      </c>
      <c r="O20" s="3">
        <v>9.59</v>
      </c>
      <c r="P20" s="3">
        <v>49.9</v>
      </c>
      <c r="Q20" s="9">
        <f t="shared" si="0"/>
        <v>15.945036363636364</v>
      </c>
      <c r="R20" s="9">
        <f t="shared" si="1"/>
        <v>1252.7544554770795</v>
      </c>
      <c r="S20" s="10">
        <f t="shared" si="2"/>
        <v>1117.5329665272789</v>
      </c>
      <c r="T20" s="7">
        <v>70.5</v>
      </c>
      <c r="U20" s="7">
        <v>47.7</v>
      </c>
    </row>
    <row r="21" spans="1:21" x14ac:dyDescent="0.25">
      <c r="A21" s="4">
        <v>2023</v>
      </c>
      <c r="B21" s="3" t="s">
        <v>22</v>
      </c>
      <c r="C21" s="3" t="s">
        <v>23</v>
      </c>
      <c r="D21" s="3" t="s">
        <v>24</v>
      </c>
      <c r="E21" s="3" t="s">
        <v>25</v>
      </c>
      <c r="F21" s="3" t="s">
        <v>49</v>
      </c>
      <c r="G21" s="3">
        <v>120</v>
      </c>
      <c r="H21" s="3">
        <v>20</v>
      </c>
      <c r="I21" s="3">
        <v>1</v>
      </c>
      <c r="J21" s="3">
        <v>8</v>
      </c>
      <c r="K21" s="3">
        <v>4</v>
      </c>
      <c r="L21" s="2" t="s">
        <v>42</v>
      </c>
      <c r="M21" s="2" t="s">
        <v>30</v>
      </c>
      <c r="N21" s="3">
        <v>17.03</v>
      </c>
      <c r="O21" s="3">
        <v>10.3</v>
      </c>
      <c r="P21" s="3">
        <v>49.6</v>
      </c>
      <c r="Q21" s="9">
        <f t="shared" si="0"/>
        <v>17.358988636363637</v>
      </c>
      <c r="R21" s="9">
        <f t="shared" si="1"/>
        <v>1363.8445131661717</v>
      </c>
      <c r="S21" s="10">
        <f t="shared" si="2"/>
        <v>1216.6320367227224</v>
      </c>
      <c r="T21" s="7">
        <v>70.2</v>
      </c>
      <c r="U21" s="7">
        <v>48.5</v>
      </c>
    </row>
    <row r="22" spans="1:21" x14ac:dyDescent="0.25">
      <c r="A22" s="4">
        <v>2023</v>
      </c>
      <c r="B22" s="3" t="s">
        <v>22</v>
      </c>
      <c r="C22" s="3" t="s">
        <v>23</v>
      </c>
      <c r="D22" s="3" t="s">
        <v>24</v>
      </c>
      <c r="E22" s="3" t="s">
        <v>25</v>
      </c>
      <c r="F22" s="3" t="s">
        <v>50</v>
      </c>
      <c r="G22" s="3">
        <v>201</v>
      </c>
      <c r="H22" s="3">
        <v>1</v>
      </c>
      <c r="I22" s="3">
        <v>2</v>
      </c>
      <c r="J22" s="3">
        <v>5</v>
      </c>
      <c r="K22" s="3">
        <v>1</v>
      </c>
      <c r="L22" s="2" t="s">
        <v>42</v>
      </c>
      <c r="M22" s="2" t="s">
        <v>30</v>
      </c>
      <c r="N22" s="3">
        <v>15.33</v>
      </c>
      <c r="O22" s="3">
        <v>14.1</v>
      </c>
      <c r="P22" s="3">
        <v>47.6</v>
      </c>
      <c r="Q22" s="9">
        <f t="shared" si="0"/>
        <v>14.964170454545453</v>
      </c>
      <c r="R22" s="9">
        <f t="shared" si="1"/>
        <v>1175.6907154004791</v>
      </c>
      <c r="S22" s="10">
        <f t="shared" si="2"/>
        <v>1048.7874356828538</v>
      </c>
      <c r="T22" s="7">
        <v>71.3</v>
      </c>
      <c r="U22" s="7">
        <v>59.1</v>
      </c>
    </row>
    <row r="23" spans="1:21" x14ac:dyDescent="0.25">
      <c r="A23" s="4">
        <v>2023</v>
      </c>
      <c r="B23" s="3" t="s">
        <v>22</v>
      </c>
      <c r="C23" s="3" t="s">
        <v>23</v>
      </c>
      <c r="D23" s="3" t="s">
        <v>24</v>
      </c>
      <c r="E23" s="3" t="s">
        <v>25</v>
      </c>
      <c r="F23" s="3" t="s">
        <v>51</v>
      </c>
      <c r="G23" s="3">
        <v>202</v>
      </c>
      <c r="H23" s="3">
        <v>2</v>
      </c>
      <c r="I23" s="3">
        <v>2</v>
      </c>
      <c r="J23" s="3">
        <v>2</v>
      </c>
      <c r="K23" s="3">
        <v>1</v>
      </c>
      <c r="L23" s="2" t="s">
        <v>42</v>
      </c>
      <c r="M23" s="2" t="s">
        <v>30</v>
      </c>
      <c r="N23" s="3">
        <v>18.14</v>
      </c>
      <c r="O23" s="3">
        <v>15.4</v>
      </c>
      <c r="P23" s="3">
        <v>47.4</v>
      </c>
      <c r="Q23" s="9">
        <f t="shared" si="0"/>
        <v>17.439136363636361</v>
      </c>
      <c r="R23" s="9">
        <f t="shared" si="1"/>
        <v>1370.1414835930468</v>
      </c>
      <c r="S23" s="10">
        <f t="shared" si="2"/>
        <v>1222.2493163185075</v>
      </c>
      <c r="T23" s="7">
        <v>72.5</v>
      </c>
      <c r="U23" s="7">
        <v>61.1</v>
      </c>
    </row>
    <row r="24" spans="1:21" x14ac:dyDescent="0.25">
      <c r="A24" s="4">
        <v>2023</v>
      </c>
      <c r="B24" s="3" t="s">
        <v>22</v>
      </c>
      <c r="C24" s="3" t="s">
        <v>23</v>
      </c>
      <c r="D24" s="3" t="s">
        <v>24</v>
      </c>
      <c r="E24" s="3" t="s">
        <v>25</v>
      </c>
      <c r="F24" s="3" t="s">
        <v>52</v>
      </c>
      <c r="G24" s="3">
        <v>203</v>
      </c>
      <c r="H24" s="3">
        <v>3</v>
      </c>
      <c r="I24" s="3">
        <v>2</v>
      </c>
      <c r="J24" s="3">
        <v>18</v>
      </c>
      <c r="K24" s="3">
        <v>1</v>
      </c>
      <c r="L24" s="2" t="s">
        <v>42</v>
      </c>
      <c r="M24" s="2" t="s">
        <v>53</v>
      </c>
      <c r="N24" s="3">
        <v>14.55</v>
      </c>
      <c r="O24" s="3">
        <v>16.7</v>
      </c>
      <c r="P24" s="3">
        <v>47</v>
      </c>
      <c r="Q24" s="9">
        <f t="shared" si="0"/>
        <v>13.772897727272728</v>
      </c>
      <c r="R24" s="9">
        <f t="shared" si="1"/>
        <v>1082.0959325009753</v>
      </c>
      <c r="S24" s="10">
        <f t="shared" si="2"/>
        <v>965.29521186527688</v>
      </c>
      <c r="T24" s="7">
        <v>71.900000000000006</v>
      </c>
      <c r="U24" s="7">
        <v>67.5</v>
      </c>
    </row>
    <row r="25" spans="1:21" x14ac:dyDescent="0.25">
      <c r="A25" s="4">
        <v>2023</v>
      </c>
      <c r="B25" s="3" t="s">
        <v>22</v>
      </c>
      <c r="C25" s="3" t="s">
        <v>23</v>
      </c>
      <c r="D25" s="3" t="s">
        <v>24</v>
      </c>
      <c r="E25" s="3" t="s">
        <v>25</v>
      </c>
      <c r="F25" s="3" t="s">
        <v>54</v>
      </c>
      <c r="G25" s="3">
        <v>204</v>
      </c>
      <c r="H25" s="3">
        <v>4</v>
      </c>
      <c r="I25" s="3">
        <v>2</v>
      </c>
      <c r="J25" s="3">
        <v>3</v>
      </c>
      <c r="K25" s="3">
        <v>1</v>
      </c>
      <c r="L25" s="2" t="s">
        <v>42</v>
      </c>
      <c r="M25" s="2" t="s">
        <v>53</v>
      </c>
      <c r="N25" s="3">
        <v>20.07</v>
      </c>
      <c r="O25" s="3">
        <v>14.5</v>
      </c>
      <c r="P25" s="3">
        <v>47.8</v>
      </c>
      <c r="Q25" s="9">
        <f t="shared" si="0"/>
        <v>19.499829545454546</v>
      </c>
      <c r="R25" s="9">
        <f t="shared" si="1"/>
        <v>1532.044066065755</v>
      </c>
      <c r="S25" s="10">
        <f t="shared" si="2"/>
        <v>1366.6762409150358</v>
      </c>
      <c r="T25" s="7">
        <v>71.5</v>
      </c>
      <c r="U25" s="7">
        <v>54.4</v>
      </c>
    </row>
    <row r="26" spans="1:21" x14ac:dyDescent="0.25">
      <c r="A26" s="4">
        <v>2023</v>
      </c>
      <c r="B26" s="3" t="s">
        <v>22</v>
      </c>
      <c r="C26" s="3" t="s">
        <v>23</v>
      </c>
      <c r="D26" s="3" t="s">
        <v>24</v>
      </c>
      <c r="E26" s="3" t="s">
        <v>25</v>
      </c>
      <c r="F26" s="3" t="s">
        <v>55</v>
      </c>
      <c r="G26" s="3">
        <v>205</v>
      </c>
      <c r="H26" s="3">
        <v>5</v>
      </c>
      <c r="I26" s="3">
        <v>2</v>
      </c>
      <c r="J26" s="3">
        <v>10</v>
      </c>
      <c r="K26" s="3">
        <v>1</v>
      </c>
      <c r="L26" s="2" t="s">
        <v>56</v>
      </c>
      <c r="M26" s="2" t="s">
        <v>658</v>
      </c>
      <c r="N26" s="3">
        <v>14.38</v>
      </c>
      <c r="O26" s="3">
        <v>16.399999999999999</v>
      </c>
      <c r="P26" s="3">
        <v>47.2</v>
      </c>
      <c r="Q26" s="9">
        <f t="shared" si="0"/>
        <v>13.661000000000001</v>
      </c>
      <c r="R26" s="9">
        <f t="shared" si="1"/>
        <v>1073.3044582639923</v>
      </c>
      <c r="S26" s="10">
        <f t="shared" si="2"/>
        <v>957.45268355396274</v>
      </c>
      <c r="T26" s="7">
        <v>75.099999999999994</v>
      </c>
      <c r="U26" s="7">
        <v>69.3</v>
      </c>
    </row>
    <row r="27" spans="1:21" x14ac:dyDescent="0.25">
      <c r="A27" s="4">
        <v>2023</v>
      </c>
      <c r="B27" s="3" t="s">
        <v>22</v>
      </c>
      <c r="C27" s="3" t="s">
        <v>23</v>
      </c>
      <c r="D27" s="3" t="s">
        <v>24</v>
      </c>
      <c r="E27" s="3" t="s">
        <v>25</v>
      </c>
      <c r="F27" s="3" t="s">
        <v>57</v>
      </c>
      <c r="G27" s="3">
        <v>206</v>
      </c>
      <c r="H27" s="3">
        <v>6</v>
      </c>
      <c r="I27" s="3">
        <v>2</v>
      </c>
      <c r="J27" s="3">
        <v>5</v>
      </c>
      <c r="K27" s="3">
        <v>2</v>
      </c>
      <c r="L27" s="2" t="s">
        <v>56</v>
      </c>
      <c r="M27" s="2" t="s">
        <v>30</v>
      </c>
      <c r="N27" s="3">
        <v>15.97</v>
      </c>
      <c r="O27" s="3">
        <v>14</v>
      </c>
      <c r="P27" s="3">
        <v>47.8</v>
      </c>
      <c r="Q27" s="9">
        <f t="shared" si="0"/>
        <v>15.607045454545453</v>
      </c>
      <c r="R27" s="9">
        <f t="shared" si="1"/>
        <v>1226.1995071145896</v>
      </c>
      <c r="S27" s="10">
        <f t="shared" si="2"/>
        <v>1093.8443417614537</v>
      </c>
      <c r="T27" s="7">
        <v>72.3</v>
      </c>
      <c r="U27" s="7">
        <v>65.400000000000006</v>
      </c>
    </row>
    <row r="28" spans="1:21" x14ac:dyDescent="0.25">
      <c r="A28" s="4">
        <v>2023</v>
      </c>
      <c r="B28" s="3" t="s">
        <v>22</v>
      </c>
      <c r="C28" s="3" t="s">
        <v>23</v>
      </c>
      <c r="D28" s="3" t="s">
        <v>24</v>
      </c>
      <c r="E28" s="3" t="s">
        <v>25</v>
      </c>
      <c r="F28" s="3" t="s">
        <v>58</v>
      </c>
      <c r="G28" s="3">
        <v>207</v>
      </c>
      <c r="H28" s="3">
        <v>7</v>
      </c>
      <c r="I28" s="3">
        <v>2</v>
      </c>
      <c r="J28" s="3">
        <v>2</v>
      </c>
      <c r="K28" s="3">
        <v>2</v>
      </c>
      <c r="L28" s="2" t="s">
        <v>56</v>
      </c>
      <c r="M28" s="2" t="s">
        <v>30</v>
      </c>
      <c r="N28" s="3">
        <v>15.66</v>
      </c>
      <c r="O28" s="3">
        <v>14.9</v>
      </c>
      <c r="P28" s="3">
        <v>47.7</v>
      </c>
      <c r="Q28" s="9">
        <f t="shared" si="0"/>
        <v>15.143931818181819</v>
      </c>
      <c r="R28" s="9">
        <f t="shared" si="1"/>
        <v>1189.8140352902772</v>
      </c>
      <c r="S28" s="10">
        <f t="shared" si="2"/>
        <v>1061.3862937469021</v>
      </c>
      <c r="T28" s="7">
        <v>73</v>
      </c>
      <c r="U28" s="7">
        <v>64</v>
      </c>
    </row>
    <row r="29" spans="1:21" x14ac:dyDescent="0.25">
      <c r="A29" s="4">
        <v>2023</v>
      </c>
      <c r="B29" s="3" t="s">
        <v>22</v>
      </c>
      <c r="C29" s="3" t="s">
        <v>23</v>
      </c>
      <c r="D29" s="3" t="s">
        <v>24</v>
      </c>
      <c r="E29" s="3" t="s">
        <v>25</v>
      </c>
      <c r="F29" s="3" t="s">
        <v>59</v>
      </c>
      <c r="G29" s="3">
        <v>208</v>
      </c>
      <c r="H29" s="3">
        <v>8</v>
      </c>
      <c r="I29" s="3">
        <v>2</v>
      </c>
      <c r="J29" s="3">
        <v>18</v>
      </c>
      <c r="K29" s="3">
        <v>2</v>
      </c>
      <c r="L29" s="2" t="s">
        <v>56</v>
      </c>
      <c r="M29" s="2" t="s">
        <v>53</v>
      </c>
      <c r="N29" s="3">
        <v>14.92</v>
      </c>
      <c r="O29" s="3">
        <v>14.2</v>
      </c>
      <c r="P29" s="3">
        <v>47.9</v>
      </c>
      <c r="Q29" s="9">
        <f t="shared" si="0"/>
        <v>14.546999999999999</v>
      </c>
      <c r="R29" s="9">
        <f t="shared" si="1"/>
        <v>1142.9148637995968</v>
      </c>
      <c r="S29" s="10">
        <f t="shared" si="2"/>
        <v>1019.5493878676153</v>
      </c>
      <c r="T29" s="7">
        <v>72.2</v>
      </c>
      <c r="U29" s="7">
        <v>67.8</v>
      </c>
    </row>
    <row r="30" spans="1:21" x14ac:dyDescent="0.25">
      <c r="A30" s="4">
        <v>2023</v>
      </c>
      <c r="B30" s="3" t="s">
        <v>22</v>
      </c>
      <c r="C30" s="3" t="s">
        <v>23</v>
      </c>
      <c r="D30" s="3" t="s">
        <v>24</v>
      </c>
      <c r="E30" s="3" t="s">
        <v>25</v>
      </c>
      <c r="F30" s="3" t="s">
        <v>60</v>
      </c>
      <c r="G30" s="3">
        <v>209</v>
      </c>
      <c r="H30" s="3">
        <v>9</v>
      </c>
      <c r="I30" s="3">
        <v>2</v>
      </c>
      <c r="J30" s="3">
        <v>3</v>
      </c>
      <c r="K30" s="3">
        <v>2</v>
      </c>
      <c r="L30" s="2" t="s">
        <v>56</v>
      </c>
      <c r="M30" s="2" t="s">
        <v>53</v>
      </c>
      <c r="N30" s="3">
        <v>16.399999999999999</v>
      </c>
      <c r="O30" s="3">
        <v>15.1</v>
      </c>
      <c r="P30" s="3">
        <v>47.8</v>
      </c>
      <c r="Q30" s="9">
        <f t="shared" si="0"/>
        <v>15.822272727272725</v>
      </c>
      <c r="R30" s="9">
        <f t="shared" si="1"/>
        <v>1243.1092788266301</v>
      </c>
      <c r="S30" s="10">
        <f t="shared" si="2"/>
        <v>1108.9288838774578</v>
      </c>
      <c r="T30" s="7">
        <v>74.099999999999994</v>
      </c>
      <c r="U30" s="7">
        <v>65.400000000000006</v>
      </c>
    </row>
    <row r="31" spans="1:21" x14ac:dyDescent="0.25">
      <c r="A31" s="4">
        <v>2023</v>
      </c>
      <c r="B31" s="3" t="s">
        <v>22</v>
      </c>
      <c r="C31" s="3" t="s">
        <v>23</v>
      </c>
      <c r="D31" s="3" t="s">
        <v>24</v>
      </c>
      <c r="E31" s="3" t="s">
        <v>25</v>
      </c>
      <c r="F31" s="3" t="s">
        <v>61</v>
      </c>
      <c r="G31" s="3">
        <v>210</v>
      </c>
      <c r="H31" s="3">
        <v>10</v>
      </c>
      <c r="I31" s="3">
        <v>2</v>
      </c>
      <c r="J31" s="3">
        <v>10</v>
      </c>
      <c r="K31" s="3">
        <v>2</v>
      </c>
      <c r="L31" s="2" t="s">
        <v>56</v>
      </c>
      <c r="M31" s="2" t="s">
        <v>658</v>
      </c>
      <c r="N31" s="3">
        <v>14.74</v>
      </c>
      <c r="O31" s="3">
        <v>14.2</v>
      </c>
      <c r="P31" s="3">
        <v>47.8</v>
      </c>
      <c r="Q31" s="9">
        <f t="shared" si="0"/>
        <v>14.371499999999999</v>
      </c>
      <c r="R31" s="9">
        <f t="shared" si="1"/>
        <v>1129.1263466760095</v>
      </c>
      <c r="S31" s="10">
        <f t="shared" si="2"/>
        <v>1007.2491941802047</v>
      </c>
      <c r="T31" s="7">
        <v>75</v>
      </c>
      <c r="U31" s="7">
        <v>68.7</v>
      </c>
    </row>
    <row r="32" spans="1:21" x14ac:dyDescent="0.25">
      <c r="A32" s="4">
        <v>2023</v>
      </c>
      <c r="B32" s="3" t="s">
        <v>22</v>
      </c>
      <c r="C32" s="3" t="s">
        <v>23</v>
      </c>
      <c r="D32" s="3" t="s">
        <v>24</v>
      </c>
      <c r="E32" s="3" t="s">
        <v>25</v>
      </c>
      <c r="F32" s="3" t="s">
        <v>62</v>
      </c>
      <c r="G32" s="3">
        <v>211</v>
      </c>
      <c r="H32" s="3">
        <v>11</v>
      </c>
      <c r="I32" s="3">
        <v>2</v>
      </c>
      <c r="J32" s="3">
        <v>5</v>
      </c>
      <c r="K32" s="3">
        <v>3</v>
      </c>
      <c r="L32" s="2" t="s">
        <v>56</v>
      </c>
      <c r="M32" s="2" t="s">
        <v>30</v>
      </c>
      <c r="N32" s="3">
        <v>16.399999999999999</v>
      </c>
      <c r="O32" s="3">
        <v>12.6</v>
      </c>
      <c r="P32" s="3">
        <v>48.4</v>
      </c>
      <c r="Q32" s="9">
        <f t="shared" si="0"/>
        <v>16.288181818181815</v>
      </c>
      <c r="R32" s="9">
        <f t="shared" si="1"/>
        <v>1279.7143812655765</v>
      </c>
      <c r="S32" s="10">
        <f t="shared" si="2"/>
        <v>1141.5828557230834</v>
      </c>
      <c r="T32" s="7">
        <v>72.2</v>
      </c>
      <c r="U32" s="7">
        <v>64.400000000000006</v>
      </c>
    </row>
    <row r="33" spans="1:21" x14ac:dyDescent="0.25">
      <c r="A33" s="4">
        <v>2023</v>
      </c>
      <c r="B33" s="3" t="s">
        <v>22</v>
      </c>
      <c r="C33" s="3" t="s">
        <v>23</v>
      </c>
      <c r="D33" s="3" t="s">
        <v>24</v>
      </c>
      <c r="E33" s="3" t="s">
        <v>25</v>
      </c>
      <c r="F33" s="3" t="s">
        <v>63</v>
      </c>
      <c r="G33" s="3">
        <v>212</v>
      </c>
      <c r="H33" s="3">
        <v>12</v>
      </c>
      <c r="I33" s="3">
        <v>2</v>
      </c>
      <c r="J33" s="3">
        <v>2</v>
      </c>
      <c r="K33" s="3">
        <v>3</v>
      </c>
      <c r="L33" s="2" t="s">
        <v>56</v>
      </c>
      <c r="M33" s="2" t="s">
        <v>30</v>
      </c>
      <c r="N33" s="3">
        <v>16.96</v>
      </c>
      <c r="O33" s="3">
        <v>12.7</v>
      </c>
      <c r="P33" s="3">
        <v>48.5</v>
      </c>
      <c r="Q33" s="9">
        <f t="shared" si="0"/>
        <v>16.82509090909091</v>
      </c>
      <c r="R33" s="9">
        <f t="shared" si="1"/>
        <v>1321.8977441932684</v>
      </c>
      <c r="S33" s="10">
        <f t="shared" si="2"/>
        <v>1179.212974302648</v>
      </c>
      <c r="T33" s="7">
        <v>72.7</v>
      </c>
      <c r="U33" s="7">
        <v>63</v>
      </c>
    </row>
    <row r="34" spans="1:21" x14ac:dyDescent="0.25">
      <c r="A34" s="4">
        <v>2023</v>
      </c>
      <c r="B34" s="3" t="s">
        <v>22</v>
      </c>
      <c r="C34" s="3" t="s">
        <v>23</v>
      </c>
      <c r="D34" s="3" t="s">
        <v>24</v>
      </c>
      <c r="E34" s="3" t="s">
        <v>25</v>
      </c>
      <c r="F34" s="3" t="s">
        <v>64</v>
      </c>
      <c r="G34" s="3">
        <v>213</v>
      </c>
      <c r="H34" s="3">
        <v>13</v>
      </c>
      <c r="I34" s="3">
        <v>2</v>
      </c>
      <c r="J34" s="3">
        <v>18</v>
      </c>
      <c r="K34" s="3">
        <v>3</v>
      </c>
      <c r="L34" s="2" t="s">
        <v>56</v>
      </c>
      <c r="M34" s="2" t="s">
        <v>53</v>
      </c>
      <c r="N34" s="3">
        <v>13.51</v>
      </c>
      <c r="O34" s="3">
        <v>12.7</v>
      </c>
      <c r="P34" s="3">
        <v>48.6</v>
      </c>
      <c r="Q34" s="9">
        <f t="shared" si="0"/>
        <v>13.402534090909091</v>
      </c>
      <c r="R34" s="9">
        <f t="shared" si="1"/>
        <v>1052.9975544841423</v>
      </c>
      <c r="S34" s="10">
        <f t="shared" si="2"/>
        <v>939.33769356301718</v>
      </c>
      <c r="T34" s="7">
        <v>72.5</v>
      </c>
      <c r="U34" s="7">
        <v>68.400000000000006</v>
      </c>
    </row>
    <row r="35" spans="1:21" x14ac:dyDescent="0.25">
      <c r="A35" s="4">
        <v>2023</v>
      </c>
      <c r="B35" s="3" t="s">
        <v>22</v>
      </c>
      <c r="C35" s="3" t="s">
        <v>23</v>
      </c>
      <c r="D35" s="3" t="s">
        <v>24</v>
      </c>
      <c r="E35" s="3" t="s">
        <v>25</v>
      </c>
      <c r="F35" s="3" t="s">
        <v>65</v>
      </c>
      <c r="G35" s="3">
        <v>214</v>
      </c>
      <c r="H35" s="3">
        <v>14</v>
      </c>
      <c r="I35" s="3">
        <v>2</v>
      </c>
      <c r="J35" s="3">
        <v>3</v>
      </c>
      <c r="K35" s="3">
        <v>3</v>
      </c>
      <c r="L35" s="2" t="s">
        <v>56</v>
      </c>
      <c r="M35" s="2" t="s">
        <v>53</v>
      </c>
      <c r="N35" s="3">
        <v>17.11</v>
      </c>
      <c r="O35" s="3">
        <v>12.2</v>
      </c>
      <c r="P35" s="3">
        <v>48.8</v>
      </c>
      <c r="Q35" s="9">
        <f t="shared" si="0"/>
        <v>17.071113636363634</v>
      </c>
      <c r="R35" s="9">
        <f t="shared" si="1"/>
        <v>1341.2270238957851</v>
      </c>
      <c r="S35" s="10">
        <f t="shared" si="2"/>
        <v>1196.4558643138137</v>
      </c>
      <c r="T35" s="7">
        <v>73.3</v>
      </c>
      <c r="U35" s="7">
        <v>62.6</v>
      </c>
    </row>
    <row r="36" spans="1:21" x14ac:dyDescent="0.25">
      <c r="A36" s="4">
        <v>2023</v>
      </c>
      <c r="B36" s="3" t="s">
        <v>22</v>
      </c>
      <c r="C36" s="3" t="s">
        <v>23</v>
      </c>
      <c r="D36" s="3" t="s">
        <v>24</v>
      </c>
      <c r="E36" s="3" t="s">
        <v>25</v>
      </c>
      <c r="F36" s="3" t="s">
        <v>66</v>
      </c>
      <c r="G36" s="3">
        <v>215</v>
      </c>
      <c r="H36" s="3">
        <v>15</v>
      </c>
      <c r="I36" s="3">
        <v>2</v>
      </c>
      <c r="J36" s="3">
        <v>10</v>
      </c>
      <c r="K36" s="3">
        <v>3</v>
      </c>
      <c r="L36" s="2" t="s">
        <v>56</v>
      </c>
      <c r="M36" s="2" t="s">
        <v>658</v>
      </c>
      <c r="N36" s="3">
        <v>13.71</v>
      </c>
      <c r="O36" s="3">
        <v>12.6</v>
      </c>
      <c r="P36" s="3">
        <v>48.6</v>
      </c>
      <c r="Q36" s="9">
        <f t="shared" si="0"/>
        <v>13.616522727272727</v>
      </c>
      <c r="R36" s="9">
        <f t="shared" si="1"/>
        <v>1069.8100101921375</v>
      </c>
      <c r="S36" s="10">
        <f t="shared" si="2"/>
        <v>954.33542390021182</v>
      </c>
      <c r="T36" s="7">
        <v>75</v>
      </c>
      <c r="U36" s="7">
        <v>68.099999999999994</v>
      </c>
    </row>
    <row r="37" spans="1:21" x14ac:dyDescent="0.25">
      <c r="A37" s="4">
        <v>2023</v>
      </c>
      <c r="B37" s="3" t="s">
        <v>22</v>
      </c>
      <c r="C37" s="3" t="s">
        <v>23</v>
      </c>
      <c r="D37" s="3" t="s">
        <v>24</v>
      </c>
      <c r="E37" s="3" t="s">
        <v>25</v>
      </c>
      <c r="F37" s="3" t="s">
        <v>67</v>
      </c>
      <c r="G37" s="3">
        <v>216</v>
      </c>
      <c r="H37" s="3">
        <v>16</v>
      </c>
      <c r="I37" s="3">
        <v>2</v>
      </c>
      <c r="J37" s="3">
        <v>5</v>
      </c>
      <c r="K37" s="3">
        <v>4</v>
      </c>
      <c r="L37" s="2" t="s">
        <v>56</v>
      </c>
      <c r="M37" s="2" t="s">
        <v>30</v>
      </c>
      <c r="N37" s="3">
        <v>15.27</v>
      </c>
      <c r="O37" s="3">
        <v>11.5</v>
      </c>
      <c r="P37" s="3">
        <v>48.7</v>
      </c>
      <c r="Q37" s="9">
        <f t="shared" si="0"/>
        <v>15.356761363636362</v>
      </c>
      <c r="R37" s="9">
        <f t="shared" si="1"/>
        <v>1206.5354246458626</v>
      </c>
      <c r="S37" s="10">
        <f t="shared" si="2"/>
        <v>1076.3027873736507</v>
      </c>
      <c r="T37" s="7">
        <v>72.2</v>
      </c>
      <c r="U37" s="7">
        <v>64.5</v>
      </c>
    </row>
    <row r="38" spans="1:21" x14ac:dyDescent="0.25">
      <c r="A38" s="4">
        <v>2023</v>
      </c>
      <c r="B38" s="3" t="s">
        <v>22</v>
      </c>
      <c r="C38" s="3" t="s">
        <v>23</v>
      </c>
      <c r="D38" s="3" t="s">
        <v>24</v>
      </c>
      <c r="E38" s="3" t="s">
        <v>25</v>
      </c>
      <c r="F38" s="3" t="s">
        <v>68</v>
      </c>
      <c r="G38" s="3">
        <v>217</v>
      </c>
      <c r="H38" s="3">
        <v>17</v>
      </c>
      <c r="I38" s="3">
        <v>2</v>
      </c>
      <c r="J38" s="3">
        <v>2</v>
      </c>
      <c r="K38" s="3">
        <v>4</v>
      </c>
      <c r="L38" s="2" t="s">
        <v>69</v>
      </c>
      <c r="M38" s="2" t="s">
        <v>30</v>
      </c>
      <c r="N38" s="3">
        <v>16.489999999999998</v>
      </c>
      <c r="O38" s="3">
        <v>12.5</v>
      </c>
      <c r="P38" s="3">
        <v>48.7</v>
      </c>
      <c r="Q38" s="9">
        <f t="shared" si="0"/>
        <v>16.396306818181817</v>
      </c>
      <c r="R38" s="9">
        <f t="shared" si="1"/>
        <v>1288.2094434535418</v>
      </c>
      <c r="S38" s="10">
        <f t="shared" si="2"/>
        <v>1149.1609665062817</v>
      </c>
      <c r="T38" s="7">
        <v>73</v>
      </c>
      <c r="U38" s="7">
        <v>61.1</v>
      </c>
    </row>
    <row r="39" spans="1:21" x14ac:dyDescent="0.25">
      <c r="A39" s="4">
        <v>2023</v>
      </c>
      <c r="B39" s="3" t="s">
        <v>22</v>
      </c>
      <c r="C39" s="3" t="s">
        <v>23</v>
      </c>
      <c r="D39" s="3" t="s">
        <v>24</v>
      </c>
      <c r="E39" s="3" t="s">
        <v>25</v>
      </c>
      <c r="F39" s="3" t="s">
        <v>70</v>
      </c>
      <c r="G39" s="3">
        <v>218</v>
      </c>
      <c r="H39" s="3">
        <v>18</v>
      </c>
      <c r="I39" s="3">
        <v>2</v>
      </c>
      <c r="J39" s="3">
        <v>18</v>
      </c>
      <c r="K39" s="3">
        <v>4</v>
      </c>
      <c r="L39" s="2" t="s">
        <v>69</v>
      </c>
      <c r="M39" s="2" t="s">
        <v>53</v>
      </c>
      <c r="N39" s="3">
        <v>14.15</v>
      </c>
      <c r="O39" s="3">
        <v>11.7</v>
      </c>
      <c r="P39" s="3">
        <v>49</v>
      </c>
      <c r="Q39" s="9">
        <f t="shared" si="0"/>
        <v>14.198238636363637</v>
      </c>
      <c r="R39" s="9">
        <f t="shared" si="1"/>
        <v>1115.513712605604</v>
      </c>
      <c r="S39" s="10">
        <f t="shared" si="2"/>
        <v>995.10589884532033</v>
      </c>
      <c r="T39" s="7">
        <v>72.2</v>
      </c>
      <c r="U39" s="7">
        <v>67.3</v>
      </c>
    </row>
    <row r="40" spans="1:21" x14ac:dyDescent="0.25">
      <c r="A40" s="4">
        <v>2023</v>
      </c>
      <c r="B40" s="3" t="s">
        <v>22</v>
      </c>
      <c r="C40" s="3" t="s">
        <v>23</v>
      </c>
      <c r="D40" s="3" t="s">
        <v>24</v>
      </c>
      <c r="E40" s="3" t="s">
        <v>25</v>
      </c>
      <c r="F40" s="3" t="s">
        <v>71</v>
      </c>
      <c r="G40" s="3">
        <v>219</v>
      </c>
      <c r="H40" s="3">
        <v>19</v>
      </c>
      <c r="I40" s="3">
        <v>2</v>
      </c>
      <c r="J40" s="3">
        <v>3</v>
      </c>
      <c r="K40" s="3">
        <v>4</v>
      </c>
      <c r="L40" s="2" t="s">
        <v>69</v>
      </c>
      <c r="M40" s="2" t="s">
        <v>53</v>
      </c>
      <c r="N40" s="3">
        <v>17.420000000000002</v>
      </c>
      <c r="O40" s="3">
        <v>11.9</v>
      </c>
      <c r="P40" s="3">
        <v>49</v>
      </c>
      <c r="Q40" s="9">
        <f t="shared" si="0"/>
        <v>17.439795454545457</v>
      </c>
      <c r="R40" s="9">
        <f t="shared" si="1"/>
        <v>1370.1932664208878</v>
      </c>
      <c r="S40" s="10">
        <f t="shared" si="2"/>
        <v>1222.2955097420943</v>
      </c>
      <c r="T40" s="7">
        <v>73.7</v>
      </c>
      <c r="U40" s="7">
        <v>62.3</v>
      </c>
    </row>
    <row r="41" spans="1:21" x14ac:dyDescent="0.25">
      <c r="A41" s="4">
        <v>2023</v>
      </c>
      <c r="B41" s="3" t="s">
        <v>22</v>
      </c>
      <c r="C41" s="3" t="s">
        <v>23</v>
      </c>
      <c r="D41" s="3" t="s">
        <v>24</v>
      </c>
      <c r="E41" s="3" t="s">
        <v>25</v>
      </c>
      <c r="F41" s="3" t="s">
        <v>72</v>
      </c>
      <c r="G41" s="3">
        <v>220</v>
      </c>
      <c r="H41" s="3">
        <v>20</v>
      </c>
      <c r="I41" s="3">
        <v>2</v>
      </c>
      <c r="J41" s="3">
        <v>10</v>
      </c>
      <c r="K41" s="3">
        <v>4</v>
      </c>
      <c r="L41" s="2" t="s">
        <v>69</v>
      </c>
      <c r="M41" s="2" t="s">
        <v>658</v>
      </c>
      <c r="N41" s="3">
        <v>12.92</v>
      </c>
      <c r="O41" s="3">
        <v>12.5</v>
      </c>
      <c r="P41" s="3">
        <v>48.6</v>
      </c>
      <c r="Q41" s="9">
        <f t="shared" si="0"/>
        <v>12.846590909090908</v>
      </c>
      <c r="R41" s="9">
        <f t="shared" si="1"/>
        <v>1009.3187392007134</v>
      </c>
      <c r="S41" s="10">
        <f t="shared" si="2"/>
        <v>900.37354076780855</v>
      </c>
      <c r="T41" s="7">
        <v>75</v>
      </c>
      <c r="U41" s="7">
        <v>69.5</v>
      </c>
    </row>
    <row r="42" spans="1:21" x14ac:dyDescent="0.25">
      <c r="A42" s="4">
        <v>2023</v>
      </c>
      <c r="B42" s="3" t="s">
        <v>22</v>
      </c>
      <c r="C42" s="3" t="s">
        <v>23</v>
      </c>
      <c r="D42" s="3" t="s">
        <v>24</v>
      </c>
      <c r="E42" s="3" t="s">
        <v>25</v>
      </c>
      <c r="F42" s="3" t="s">
        <v>73</v>
      </c>
      <c r="G42" s="3">
        <v>301</v>
      </c>
      <c r="H42" s="3">
        <v>1</v>
      </c>
      <c r="I42" s="3">
        <v>3</v>
      </c>
      <c r="J42" s="3">
        <v>12</v>
      </c>
      <c r="K42" s="3">
        <v>1</v>
      </c>
      <c r="L42" s="2" t="s">
        <v>69</v>
      </c>
      <c r="M42" s="2" t="s">
        <v>53</v>
      </c>
      <c r="N42" s="3">
        <v>14.7</v>
      </c>
      <c r="O42" s="3">
        <v>17.899999999999999</v>
      </c>
      <c r="P42" s="3">
        <v>46.7</v>
      </c>
      <c r="Q42" s="9">
        <f t="shared" si="0"/>
        <v>13.714431818181815</v>
      </c>
      <c r="R42" s="9">
        <f t="shared" si="1"/>
        <v>1077.5024385485756</v>
      </c>
      <c r="S42" s="10">
        <f t="shared" si="2"/>
        <v>961.19753661781942</v>
      </c>
      <c r="T42" s="7">
        <v>74.900000000000006</v>
      </c>
      <c r="U42" s="7">
        <v>69.5</v>
      </c>
    </row>
    <row r="43" spans="1:21" x14ac:dyDescent="0.25">
      <c r="A43" s="4">
        <v>2023</v>
      </c>
      <c r="B43" s="3" t="s">
        <v>22</v>
      </c>
      <c r="C43" s="3" t="s">
        <v>23</v>
      </c>
      <c r="D43" s="3" t="s">
        <v>24</v>
      </c>
      <c r="E43" s="3" t="s">
        <v>25</v>
      </c>
      <c r="F43" s="3" t="s">
        <v>74</v>
      </c>
      <c r="G43" s="3">
        <v>302</v>
      </c>
      <c r="H43" s="3">
        <v>2</v>
      </c>
      <c r="I43" s="3">
        <v>3</v>
      </c>
      <c r="J43" s="3">
        <v>4</v>
      </c>
      <c r="K43" s="3">
        <v>1</v>
      </c>
      <c r="L43" s="2" t="s">
        <v>69</v>
      </c>
      <c r="M43" s="2" t="s">
        <v>658</v>
      </c>
      <c r="N43" s="3">
        <v>14.57</v>
      </c>
      <c r="O43" s="3">
        <v>13.9</v>
      </c>
      <c r="P43" s="3">
        <v>47.6</v>
      </c>
      <c r="Q43" s="9">
        <f t="shared" si="0"/>
        <v>14.255420454545455</v>
      </c>
      <c r="R43" s="9">
        <f t="shared" si="1"/>
        <v>1120.0063193244525</v>
      </c>
      <c r="S43" s="10">
        <f t="shared" si="2"/>
        <v>999.11357656061773</v>
      </c>
      <c r="T43" s="7">
        <v>71.5</v>
      </c>
      <c r="U43" s="7">
        <v>61.8</v>
      </c>
    </row>
    <row r="44" spans="1:21" x14ac:dyDescent="0.25">
      <c r="A44" s="4">
        <v>2023</v>
      </c>
      <c r="B44" s="3" t="s">
        <v>22</v>
      </c>
      <c r="C44" s="3" t="s">
        <v>23</v>
      </c>
      <c r="D44" s="3" t="s">
        <v>24</v>
      </c>
      <c r="E44" s="3" t="s">
        <v>25</v>
      </c>
      <c r="F44" s="3" t="s">
        <v>75</v>
      </c>
      <c r="G44" s="3">
        <v>303</v>
      </c>
      <c r="H44" s="3">
        <v>3</v>
      </c>
      <c r="I44" s="3">
        <v>3</v>
      </c>
      <c r="J44" s="3">
        <v>14</v>
      </c>
      <c r="K44" s="3">
        <v>1</v>
      </c>
      <c r="L44" s="2" t="s">
        <v>69</v>
      </c>
      <c r="M44" s="2" t="s">
        <v>30</v>
      </c>
      <c r="N44" s="3">
        <v>13.96</v>
      </c>
      <c r="O44" s="3">
        <v>15.6</v>
      </c>
      <c r="P44" s="3">
        <v>46.9</v>
      </c>
      <c r="Q44" s="9">
        <f t="shared" si="0"/>
        <v>13.38890909090909</v>
      </c>
      <c r="R44" s="9">
        <f t="shared" si="1"/>
        <v>1051.9270784396474</v>
      </c>
      <c r="S44" s="10">
        <f t="shared" si="2"/>
        <v>938.38276399611721</v>
      </c>
      <c r="T44" s="7">
        <v>70.7</v>
      </c>
      <c r="U44" s="7">
        <v>56.6</v>
      </c>
    </row>
    <row r="45" spans="1:21" x14ac:dyDescent="0.25">
      <c r="A45" s="4">
        <v>2023</v>
      </c>
      <c r="B45" s="3" t="s">
        <v>22</v>
      </c>
      <c r="C45" s="3" t="s">
        <v>23</v>
      </c>
      <c r="D45" s="3" t="s">
        <v>24</v>
      </c>
      <c r="E45" s="3" t="s">
        <v>25</v>
      </c>
      <c r="F45" s="3" t="s">
        <v>76</v>
      </c>
      <c r="G45" s="3">
        <v>304</v>
      </c>
      <c r="H45" s="3">
        <v>4</v>
      </c>
      <c r="I45" s="3">
        <v>3</v>
      </c>
      <c r="J45" s="3">
        <v>1</v>
      </c>
      <c r="K45" s="3">
        <v>1</v>
      </c>
      <c r="L45" s="2" t="s">
        <v>69</v>
      </c>
      <c r="M45" s="2" t="s">
        <v>658</v>
      </c>
      <c r="N45" s="3">
        <v>17.670000000000002</v>
      </c>
      <c r="O45" s="3">
        <v>14.7</v>
      </c>
      <c r="P45" s="3">
        <v>47.7</v>
      </c>
      <c r="Q45" s="9">
        <f t="shared" si="0"/>
        <v>17.127852272727274</v>
      </c>
      <c r="R45" s="9">
        <f t="shared" si="1"/>
        <v>1345.6848111269476</v>
      </c>
      <c r="S45" s="10">
        <f t="shared" si="2"/>
        <v>1200.4324809339407</v>
      </c>
      <c r="T45" s="7">
        <v>72.7</v>
      </c>
      <c r="U45" s="7">
        <v>60.2</v>
      </c>
    </row>
    <row r="46" spans="1:21" x14ac:dyDescent="0.25">
      <c r="A46" s="4">
        <v>2023</v>
      </c>
      <c r="B46" s="3" t="s">
        <v>22</v>
      </c>
      <c r="C46" s="3" t="s">
        <v>23</v>
      </c>
      <c r="D46" s="3" t="s">
        <v>24</v>
      </c>
      <c r="E46" s="3" t="s">
        <v>25</v>
      </c>
      <c r="F46" s="3" t="s">
        <v>77</v>
      </c>
      <c r="G46" s="3">
        <v>305</v>
      </c>
      <c r="H46" s="3">
        <v>5</v>
      </c>
      <c r="I46" s="3">
        <v>3</v>
      </c>
      <c r="J46" s="3">
        <v>17</v>
      </c>
      <c r="K46" s="3">
        <v>1</v>
      </c>
      <c r="L46" s="2" t="s">
        <v>69</v>
      </c>
      <c r="M46" s="2" t="s">
        <v>30</v>
      </c>
      <c r="N46" s="3">
        <v>14.29</v>
      </c>
      <c r="O46" s="3">
        <v>15.6</v>
      </c>
      <c r="P46" s="3">
        <v>47.4</v>
      </c>
      <c r="Q46" s="9">
        <f t="shared" si="0"/>
        <v>13.70540909090909</v>
      </c>
      <c r="R46" s="9">
        <f t="shared" si="1"/>
        <v>1076.7935494915871</v>
      </c>
      <c r="S46" s="10">
        <f t="shared" si="2"/>
        <v>960.56516457768703</v>
      </c>
      <c r="T46" s="7">
        <v>72.900000000000006</v>
      </c>
      <c r="U46" s="7">
        <v>68.8</v>
      </c>
    </row>
    <row r="47" spans="1:21" x14ac:dyDescent="0.25">
      <c r="A47" s="4">
        <v>2023</v>
      </c>
      <c r="B47" s="3" t="s">
        <v>22</v>
      </c>
      <c r="C47" s="3" t="s">
        <v>23</v>
      </c>
      <c r="D47" s="3" t="s">
        <v>24</v>
      </c>
      <c r="E47" s="3" t="s">
        <v>25</v>
      </c>
      <c r="F47" s="3" t="s">
        <v>78</v>
      </c>
      <c r="G47" s="3">
        <v>306</v>
      </c>
      <c r="H47" s="3">
        <v>6</v>
      </c>
      <c r="I47" s="3">
        <v>3</v>
      </c>
      <c r="J47" s="3">
        <v>12</v>
      </c>
      <c r="K47" s="3">
        <v>2</v>
      </c>
      <c r="L47" s="2" t="s">
        <v>69</v>
      </c>
      <c r="M47" s="2" t="s">
        <v>53</v>
      </c>
      <c r="N47" s="3">
        <v>15.3</v>
      </c>
      <c r="O47" s="3">
        <v>17</v>
      </c>
      <c r="P47" s="3">
        <v>47.1</v>
      </c>
      <c r="Q47" s="9">
        <f t="shared" si="0"/>
        <v>14.430681818181817</v>
      </c>
      <c r="R47" s="9">
        <f t="shared" si="1"/>
        <v>1133.7760874931321</v>
      </c>
      <c r="S47" s="10">
        <f t="shared" si="2"/>
        <v>1011.3970450429367</v>
      </c>
      <c r="T47" s="7">
        <v>75.400000000000006</v>
      </c>
      <c r="U47" s="7">
        <v>70</v>
      </c>
    </row>
    <row r="48" spans="1:21" x14ac:dyDescent="0.25">
      <c r="A48" s="4">
        <v>2023</v>
      </c>
      <c r="B48" s="3" t="s">
        <v>22</v>
      </c>
      <c r="C48" s="3" t="s">
        <v>23</v>
      </c>
      <c r="D48" s="3" t="s">
        <v>24</v>
      </c>
      <c r="E48" s="3" t="s">
        <v>25</v>
      </c>
      <c r="F48" s="3" t="s">
        <v>79</v>
      </c>
      <c r="G48" s="3">
        <v>307</v>
      </c>
      <c r="H48" s="3">
        <v>7</v>
      </c>
      <c r="I48" s="3">
        <v>3</v>
      </c>
      <c r="J48" s="3">
        <v>4</v>
      </c>
      <c r="K48" s="3">
        <v>2</v>
      </c>
      <c r="L48" s="2" t="s">
        <v>69</v>
      </c>
      <c r="M48" s="2" t="s">
        <v>658</v>
      </c>
      <c r="N48" s="3">
        <v>15.99</v>
      </c>
      <c r="O48" s="3">
        <v>14.7</v>
      </c>
      <c r="P48" s="3">
        <v>47.4</v>
      </c>
      <c r="Q48" s="9">
        <f t="shared" si="0"/>
        <v>15.499397727272726</v>
      </c>
      <c r="R48" s="9">
        <f t="shared" si="1"/>
        <v>1217.7419428364401</v>
      </c>
      <c r="S48" s="10">
        <f t="shared" si="2"/>
        <v>1086.299681388439</v>
      </c>
      <c r="T48" s="7">
        <v>72</v>
      </c>
      <c r="U48" s="7">
        <v>61.7</v>
      </c>
    </row>
    <row r="49" spans="1:21" x14ac:dyDescent="0.25">
      <c r="A49" s="4">
        <v>2023</v>
      </c>
      <c r="B49" s="3" t="s">
        <v>22</v>
      </c>
      <c r="C49" s="3" t="s">
        <v>23</v>
      </c>
      <c r="D49" s="3" t="s">
        <v>24</v>
      </c>
      <c r="E49" s="3" t="s">
        <v>25</v>
      </c>
      <c r="F49" s="3" t="s">
        <v>80</v>
      </c>
      <c r="G49" s="3">
        <v>308</v>
      </c>
      <c r="H49" s="3">
        <v>8</v>
      </c>
      <c r="I49" s="3">
        <v>3</v>
      </c>
      <c r="J49" s="3">
        <v>14</v>
      </c>
      <c r="K49" s="3">
        <v>2</v>
      </c>
      <c r="L49" s="2" t="s">
        <v>69</v>
      </c>
      <c r="M49" s="2" t="s">
        <v>30</v>
      </c>
      <c r="N49" s="3">
        <v>13.52</v>
      </c>
      <c r="O49" s="3">
        <v>12.5</v>
      </c>
      <c r="P49" s="3">
        <v>48</v>
      </c>
      <c r="Q49" s="9">
        <f t="shared" si="0"/>
        <v>13.443181818181818</v>
      </c>
      <c r="R49" s="9">
        <f t="shared" si="1"/>
        <v>1056.1911264700964</v>
      </c>
      <c r="S49" s="10">
        <f t="shared" si="2"/>
        <v>942.18655349696371</v>
      </c>
      <c r="T49" s="7">
        <v>70</v>
      </c>
      <c r="U49" s="7">
        <v>53.5</v>
      </c>
    </row>
    <row r="50" spans="1:21" x14ac:dyDescent="0.25">
      <c r="A50" s="4">
        <v>2023</v>
      </c>
      <c r="B50" s="3" t="s">
        <v>22</v>
      </c>
      <c r="C50" s="3" t="s">
        <v>23</v>
      </c>
      <c r="D50" s="3" t="s">
        <v>24</v>
      </c>
      <c r="E50" s="3" t="s">
        <v>25</v>
      </c>
      <c r="F50" s="3" t="s">
        <v>81</v>
      </c>
      <c r="G50" s="3">
        <v>309</v>
      </c>
      <c r="H50" s="3">
        <v>9</v>
      </c>
      <c r="I50" s="3">
        <v>3</v>
      </c>
      <c r="J50" s="3">
        <v>1</v>
      </c>
      <c r="K50" s="3">
        <v>2</v>
      </c>
      <c r="L50" s="2" t="s">
        <v>82</v>
      </c>
      <c r="M50" s="2" t="s">
        <v>658</v>
      </c>
      <c r="N50" s="3">
        <v>17.32</v>
      </c>
      <c r="O50" s="3">
        <v>14</v>
      </c>
      <c r="P50" s="3">
        <v>48</v>
      </c>
      <c r="Q50" s="9">
        <f t="shared" si="0"/>
        <v>16.926363636363636</v>
      </c>
      <c r="R50" s="9">
        <f t="shared" si="1"/>
        <v>1329.8544435331678</v>
      </c>
      <c r="S50" s="10">
        <f t="shared" si="2"/>
        <v>1186.3108327682139</v>
      </c>
      <c r="T50" s="7">
        <v>72.7</v>
      </c>
      <c r="U50" s="7">
        <v>60.3</v>
      </c>
    </row>
    <row r="51" spans="1:21" x14ac:dyDescent="0.25">
      <c r="A51" s="4">
        <v>2023</v>
      </c>
      <c r="B51" s="3" t="s">
        <v>22</v>
      </c>
      <c r="C51" s="3" t="s">
        <v>23</v>
      </c>
      <c r="D51" s="3" t="s">
        <v>24</v>
      </c>
      <c r="E51" s="3" t="s">
        <v>25</v>
      </c>
      <c r="F51" s="3" t="s">
        <v>83</v>
      </c>
      <c r="G51" s="3">
        <v>310</v>
      </c>
      <c r="H51" s="3">
        <v>10</v>
      </c>
      <c r="I51" s="3">
        <v>3</v>
      </c>
      <c r="J51" s="3">
        <v>17</v>
      </c>
      <c r="K51" s="3">
        <v>2</v>
      </c>
      <c r="L51" s="2" t="s">
        <v>82</v>
      </c>
      <c r="M51" s="2" t="s">
        <v>30</v>
      </c>
      <c r="N51" s="3">
        <v>17.739999999999998</v>
      </c>
      <c r="O51" s="3">
        <v>12.3</v>
      </c>
      <c r="P51" s="3">
        <v>48.6</v>
      </c>
      <c r="Q51" s="9">
        <f t="shared" si="0"/>
        <v>17.679522727272726</v>
      </c>
      <c r="R51" s="9">
        <f t="shared" si="1"/>
        <v>1389.0279308367903</v>
      </c>
      <c r="S51" s="10">
        <f t="shared" si="2"/>
        <v>1239.0971729141752</v>
      </c>
      <c r="T51" s="7">
        <v>71.099999999999994</v>
      </c>
      <c r="U51" s="7">
        <v>53.1</v>
      </c>
    </row>
    <row r="52" spans="1:21" x14ac:dyDescent="0.25">
      <c r="A52" s="4">
        <v>2023</v>
      </c>
      <c r="B52" s="3" t="s">
        <v>22</v>
      </c>
      <c r="C52" s="3" t="s">
        <v>23</v>
      </c>
      <c r="D52" s="3" t="s">
        <v>24</v>
      </c>
      <c r="E52" s="3" t="s">
        <v>25</v>
      </c>
      <c r="F52" s="3" t="s">
        <v>84</v>
      </c>
      <c r="G52" s="3">
        <v>311</v>
      </c>
      <c r="H52" s="3">
        <v>11</v>
      </c>
      <c r="I52" s="3">
        <v>3</v>
      </c>
      <c r="J52" s="3">
        <v>12</v>
      </c>
      <c r="K52" s="3">
        <v>3</v>
      </c>
      <c r="L52" s="2" t="s">
        <v>82</v>
      </c>
      <c r="M52" s="2" t="s">
        <v>53</v>
      </c>
      <c r="N52" s="3">
        <v>15.14</v>
      </c>
      <c r="O52" s="3">
        <v>14.6</v>
      </c>
      <c r="P52" s="3">
        <v>47.9</v>
      </c>
      <c r="Q52" s="9">
        <f t="shared" si="0"/>
        <v>14.692681818181818</v>
      </c>
      <c r="R52" s="9">
        <f t="shared" si="1"/>
        <v>1154.3606543670919</v>
      </c>
      <c r="S52" s="10">
        <f t="shared" si="2"/>
        <v>1029.7597273569063</v>
      </c>
      <c r="T52" s="7">
        <v>75.400000000000006</v>
      </c>
      <c r="U52" s="7">
        <v>71</v>
      </c>
    </row>
    <row r="53" spans="1:21" x14ac:dyDescent="0.25">
      <c r="A53" s="4">
        <v>2023</v>
      </c>
      <c r="B53" s="3" t="s">
        <v>22</v>
      </c>
      <c r="C53" s="3" t="s">
        <v>23</v>
      </c>
      <c r="D53" s="3" t="s">
        <v>24</v>
      </c>
      <c r="E53" s="3" t="s">
        <v>25</v>
      </c>
      <c r="F53" s="3" t="s">
        <v>85</v>
      </c>
      <c r="G53" s="3">
        <v>312</v>
      </c>
      <c r="H53" s="3">
        <v>12</v>
      </c>
      <c r="I53" s="3">
        <v>3</v>
      </c>
      <c r="J53" s="3">
        <v>4</v>
      </c>
      <c r="K53" s="3">
        <v>3</v>
      </c>
      <c r="L53" s="2" t="s">
        <v>82</v>
      </c>
      <c r="M53" s="2" t="s">
        <v>658</v>
      </c>
      <c r="N53" s="3">
        <v>13.43</v>
      </c>
      <c r="O53" s="3">
        <v>11.3</v>
      </c>
      <c r="P53" s="3">
        <v>48.9</v>
      </c>
      <c r="Q53" s="9">
        <f t="shared" si="0"/>
        <v>13.536829545454545</v>
      </c>
      <c r="R53" s="9">
        <f t="shared" si="1"/>
        <v>1063.5487520603244</v>
      </c>
      <c r="S53" s="10">
        <f t="shared" si="2"/>
        <v>948.75000183793441</v>
      </c>
      <c r="T53" s="7">
        <v>72.2</v>
      </c>
      <c r="U53" s="7">
        <v>63.4</v>
      </c>
    </row>
    <row r="54" spans="1:21" x14ac:dyDescent="0.25">
      <c r="A54" s="4">
        <v>2023</v>
      </c>
      <c r="B54" s="3" t="s">
        <v>22</v>
      </c>
      <c r="C54" s="3" t="s">
        <v>23</v>
      </c>
      <c r="D54" s="3" t="s">
        <v>24</v>
      </c>
      <c r="E54" s="3" t="s">
        <v>25</v>
      </c>
      <c r="F54" s="3" t="s">
        <v>86</v>
      </c>
      <c r="G54" s="3">
        <v>313</v>
      </c>
      <c r="H54" s="3">
        <v>13</v>
      </c>
      <c r="I54" s="3">
        <v>3</v>
      </c>
      <c r="J54" s="3">
        <v>14</v>
      </c>
      <c r="K54" s="3">
        <v>3</v>
      </c>
      <c r="L54" s="2" t="s">
        <v>87</v>
      </c>
      <c r="M54" s="2" t="s">
        <v>30</v>
      </c>
      <c r="N54" s="3">
        <v>13.61</v>
      </c>
      <c r="O54" s="3">
        <v>11.9</v>
      </c>
      <c r="P54" s="3">
        <v>48.5</v>
      </c>
      <c r="Q54" s="9">
        <f t="shared" si="0"/>
        <v>13.625465909090908</v>
      </c>
      <c r="R54" s="9">
        <f t="shared" si="1"/>
        <v>1070.5126495974901</v>
      </c>
      <c r="S54" s="10">
        <f t="shared" si="2"/>
        <v>954.96222087198043</v>
      </c>
      <c r="T54" s="7">
        <v>70.8</v>
      </c>
      <c r="U54" s="7">
        <v>57</v>
      </c>
    </row>
    <row r="55" spans="1:21" x14ac:dyDescent="0.25">
      <c r="A55" s="4">
        <v>2023</v>
      </c>
      <c r="B55" s="3" t="s">
        <v>22</v>
      </c>
      <c r="C55" s="3" t="s">
        <v>23</v>
      </c>
      <c r="D55" s="3" t="s">
        <v>24</v>
      </c>
      <c r="E55" s="3" t="s">
        <v>25</v>
      </c>
      <c r="F55" s="3" t="s">
        <v>88</v>
      </c>
      <c r="G55" s="3">
        <v>314</v>
      </c>
      <c r="H55" s="3">
        <v>14</v>
      </c>
      <c r="I55" s="3">
        <v>3</v>
      </c>
      <c r="J55" s="3">
        <v>1</v>
      </c>
      <c r="K55" s="3">
        <v>3</v>
      </c>
      <c r="L55" s="2" t="s">
        <v>87</v>
      </c>
      <c r="M55" s="2" t="s">
        <v>658</v>
      </c>
      <c r="N55" s="3">
        <v>15.8</v>
      </c>
      <c r="O55" s="3">
        <v>11.4</v>
      </c>
      <c r="P55" s="3">
        <v>49.1</v>
      </c>
      <c r="Q55" s="9">
        <f t="shared" si="0"/>
        <v>15.907727272727273</v>
      </c>
      <c r="R55" s="9">
        <f t="shared" si="1"/>
        <v>1249.8231902983589</v>
      </c>
      <c r="S55" s="10">
        <f t="shared" si="2"/>
        <v>1114.9181001769482</v>
      </c>
      <c r="T55" s="7">
        <v>73</v>
      </c>
      <c r="U55" s="7">
        <v>60.5</v>
      </c>
    </row>
    <row r="56" spans="1:21" x14ac:dyDescent="0.25">
      <c r="A56" s="4">
        <v>2023</v>
      </c>
      <c r="B56" s="3" t="s">
        <v>22</v>
      </c>
      <c r="C56" s="3" t="s">
        <v>23</v>
      </c>
      <c r="D56" s="3" t="s">
        <v>24</v>
      </c>
      <c r="E56" s="3" t="s">
        <v>25</v>
      </c>
      <c r="F56" s="3" t="s">
        <v>89</v>
      </c>
      <c r="G56" s="3">
        <v>315</v>
      </c>
      <c r="H56" s="3">
        <v>15</v>
      </c>
      <c r="I56" s="3">
        <v>3</v>
      </c>
      <c r="J56" s="3">
        <v>17</v>
      </c>
      <c r="K56" s="3">
        <v>3</v>
      </c>
      <c r="L56" s="2" t="s">
        <v>87</v>
      </c>
      <c r="M56" s="2" t="s">
        <v>30</v>
      </c>
      <c r="N56" s="3">
        <v>14.23</v>
      </c>
      <c r="O56" s="3">
        <v>12.3</v>
      </c>
      <c r="P56" s="3">
        <v>48.8</v>
      </c>
      <c r="Q56" s="9">
        <f t="shared" si="0"/>
        <v>14.181488636363637</v>
      </c>
      <c r="R56" s="9">
        <f t="shared" si="1"/>
        <v>1114.1977145325552</v>
      </c>
      <c r="S56" s="10">
        <f t="shared" si="2"/>
        <v>993.93194873555331</v>
      </c>
      <c r="T56" s="7">
        <v>72.900000000000006</v>
      </c>
      <c r="U56" s="7">
        <v>68.2</v>
      </c>
    </row>
    <row r="57" spans="1:21" x14ac:dyDescent="0.25">
      <c r="A57" s="4">
        <v>2023</v>
      </c>
      <c r="B57" s="3" t="s">
        <v>22</v>
      </c>
      <c r="C57" s="3" t="s">
        <v>23</v>
      </c>
      <c r="D57" s="3" t="s">
        <v>24</v>
      </c>
      <c r="E57" s="3" t="s">
        <v>25</v>
      </c>
      <c r="F57" s="3" t="s">
        <v>90</v>
      </c>
      <c r="G57" s="3">
        <v>316</v>
      </c>
      <c r="H57" s="3">
        <v>16</v>
      </c>
      <c r="I57" s="3">
        <v>3</v>
      </c>
      <c r="J57" s="3">
        <v>12</v>
      </c>
      <c r="K57" s="3">
        <v>4</v>
      </c>
      <c r="L57" s="2" t="s">
        <v>87</v>
      </c>
      <c r="M57" s="2" t="s">
        <v>53</v>
      </c>
      <c r="N57" s="3">
        <v>14.68</v>
      </c>
      <c r="O57" s="3">
        <v>14.1</v>
      </c>
      <c r="P57" s="3">
        <v>48</v>
      </c>
      <c r="Q57" s="9">
        <f t="shared" si="0"/>
        <v>14.329681818181818</v>
      </c>
      <c r="R57" s="9">
        <f t="shared" si="1"/>
        <v>1125.8408155302695</v>
      </c>
      <c r="S57" s="10">
        <f t="shared" si="2"/>
        <v>1004.3183010974751</v>
      </c>
      <c r="T57" s="7">
        <v>75.099999999999994</v>
      </c>
      <c r="U57" s="7">
        <v>70.3</v>
      </c>
    </row>
    <row r="58" spans="1:21" x14ac:dyDescent="0.25">
      <c r="A58" s="4">
        <v>2023</v>
      </c>
      <c r="B58" s="3" t="s">
        <v>22</v>
      </c>
      <c r="C58" s="3" t="s">
        <v>23</v>
      </c>
      <c r="D58" s="3" t="s">
        <v>24</v>
      </c>
      <c r="E58" s="3" t="s">
        <v>25</v>
      </c>
      <c r="F58" s="3" t="s">
        <v>91</v>
      </c>
      <c r="G58" s="3">
        <v>317</v>
      </c>
      <c r="H58" s="3">
        <v>17</v>
      </c>
      <c r="I58" s="3">
        <v>3</v>
      </c>
      <c r="J58" s="3">
        <v>4</v>
      </c>
      <c r="K58" s="3">
        <v>4</v>
      </c>
      <c r="L58" s="2" t="s">
        <v>87</v>
      </c>
      <c r="M58" s="2" t="s">
        <v>658</v>
      </c>
      <c r="N58" s="3">
        <v>12.01</v>
      </c>
      <c r="O58" s="3">
        <v>9.94</v>
      </c>
      <c r="P58" s="3">
        <v>49.6</v>
      </c>
      <c r="Q58" s="9">
        <f t="shared" si="0"/>
        <v>12.291143181818184</v>
      </c>
      <c r="R58" s="9">
        <f t="shared" si="1"/>
        <v>965.67885031890251</v>
      </c>
      <c r="S58" s="10">
        <f t="shared" si="2"/>
        <v>861.44411268412352</v>
      </c>
      <c r="T58" s="7">
        <v>71.599999999999994</v>
      </c>
      <c r="U58" s="7">
        <v>61.2</v>
      </c>
    </row>
    <row r="59" spans="1:21" x14ac:dyDescent="0.25">
      <c r="A59" s="4">
        <v>2023</v>
      </c>
      <c r="B59" s="3" t="s">
        <v>22</v>
      </c>
      <c r="C59" s="3" t="s">
        <v>23</v>
      </c>
      <c r="D59" s="3" t="s">
        <v>24</v>
      </c>
      <c r="E59" s="3" t="s">
        <v>25</v>
      </c>
      <c r="F59" s="3" t="s">
        <v>92</v>
      </c>
      <c r="G59" s="3">
        <v>318</v>
      </c>
      <c r="H59" s="3">
        <v>18</v>
      </c>
      <c r="I59" s="3">
        <v>3</v>
      </c>
      <c r="J59" s="3">
        <v>14</v>
      </c>
      <c r="K59" s="3">
        <v>4</v>
      </c>
      <c r="L59" s="2" t="s">
        <v>87</v>
      </c>
      <c r="M59" s="2" t="s">
        <v>30</v>
      </c>
      <c r="N59" s="3">
        <v>12.43</v>
      </c>
      <c r="O59" s="3">
        <v>9.84</v>
      </c>
      <c r="P59" s="3">
        <v>49.3</v>
      </c>
      <c r="Q59" s="9">
        <f t="shared" si="0"/>
        <v>12.735099999999999</v>
      </c>
      <c r="R59" s="9">
        <f t="shared" si="1"/>
        <v>1000.559227467811</v>
      </c>
      <c r="S59" s="10">
        <f t="shared" si="2"/>
        <v>892.55952494898395</v>
      </c>
      <c r="T59" s="7">
        <v>70</v>
      </c>
      <c r="U59" s="7">
        <v>53.2</v>
      </c>
    </row>
    <row r="60" spans="1:21" x14ac:dyDescent="0.25">
      <c r="A60" s="4">
        <v>2023</v>
      </c>
      <c r="B60" s="3" t="s">
        <v>22</v>
      </c>
      <c r="C60" s="3" t="s">
        <v>23</v>
      </c>
      <c r="D60" s="3" t="s">
        <v>24</v>
      </c>
      <c r="E60" s="3" t="s">
        <v>25</v>
      </c>
      <c r="F60" s="3" t="s">
        <v>93</v>
      </c>
      <c r="G60" s="3">
        <v>319</v>
      </c>
      <c r="H60" s="3">
        <v>19</v>
      </c>
      <c r="I60" s="3">
        <v>3</v>
      </c>
      <c r="J60" s="3">
        <v>1</v>
      </c>
      <c r="K60" s="3">
        <v>4</v>
      </c>
      <c r="L60" s="2" t="s">
        <v>87</v>
      </c>
      <c r="M60" s="2" t="s">
        <v>658</v>
      </c>
      <c r="N60" s="3">
        <v>14.78</v>
      </c>
      <c r="O60" s="3">
        <v>11.1</v>
      </c>
      <c r="P60" s="3">
        <v>49.2</v>
      </c>
      <c r="Q60" s="9">
        <f t="shared" si="0"/>
        <v>14.931159090909091</v>
      </c>
      <c r="R60" s="9">
        <f t="shared" si="1"/>
        <v>1173.0971099715732</v>
      </c>
      <c r="S60" s="10">
        <f t="shared" si="2"/>
        <v>1046.4737823118405</v>
      </c>
      <c r="T60" s="7">
        <v>72.7</v>
      </c>
      <c r="U60" s="7">
        <v>58.6</v>
      </c>
    </row>
    <row r="61" spans="1:21" x14ac:dyDescent="0.25">
      <c r="A61" s="4">
        <v>2023</v>
      </c>
      <c r="B61" s="3" t="s">
        <v>22</v>
      </c>
      <c r="C61" s="3" t="s">
        <v>23</v>
      </c>
      <c r="D61" s="3" t="s">
        <v>24</v>
      </c>
      <c r="E61" s="3" t="s">
        <v>25</v>
      </c>
      <c r="F61" s="3" t="s">
        <v>94</v>
      </c>
      <c r="G61" s="3">
        <v>320</v>
      </c>
      <c r="H61" s="3">
        <v>20</v>
      </c>
      <c r="I61" s="3">
        <v>3</v>
      </c>
      <c r="J61" s="3">
        <v>17</v>
      </c>
      <c r="K61" s="3">
        <v>4</v>
      </c>
      <c r="L61" s="2" t="s">
        <v>87</v>
      </c>
      <c r="M61" s="2" t="s">
        <v>30</v>
      </c>
      <c r="N61" s="3">
        <v>13.63</v>
      </c>
      <c r="O61" s="3">
        <v>12.9</v>
      </c>
      <c r="P61" s="3">
        <v>48.5</v>
      </c>
      <c r="Q61" s="9">
        <f t="shared" si="0"/>
        <v>13.490602272727275</v>
      </c>
      <c r="R61" s="9">
        <f t="shared" si="1"/>
        <v>1059.9168116524797</v>
      </c>
      <c r="S61" s="10">
        <f t="shared" si="2"/>
        <v>945.51009068017822</v>
      </c>
      <c r="T61" s="7">
        <v>72.5</v>
      </c>
      <c r="U61" s="7">
        <v>67.5</v>
      </c>
    </row>
    <row r="62" spans="1:21" x14ac:dyDescent="0.25">
      <c r="A62" s="4">
        <v>2023</v>
      </c>
      <c r="B62" s="3" t="s">
        <v>22</v>
      </c>
      <c r="C62" s="3" t="s">
        <v>23</v>
      </c>
      <c r="D62" s="3" t="s">
        <v>24</v>
      </c>
      <c r="E62" s="3" t="s">
        <v>25</v>
      </c>
      <c r="F62" s="3" t="s">
        <v>95</v>
      </c>
      <c r="G62" s="3">
        <v>401</v>
      </c>
      <c r="H62" s="3">
        <v>1</v>
      </c>
      <c r="I62" s="3">
        <v>4</v>
      </c>
      <c r="J62" s="3">
        <v>6</v>
      </c>
      <c r="K62" s="3">
        <v>1</v>
      </c>
      <c r="L62" s="2" t="s">
        <v>87</v>
      </c>
      <c r="M62" s="2" t="s">
        <v>53</v>
      </c>
      <c r="N62" s="3">
        <v>15.86</v>
      </c>
      <c r="O62" s="3">
        <v>14.9</v>
      </c>
      <c r="P62" s="3">
        <v>47.3</v>
      </c>
      <c r="Q62" s="9">
        <f t="shared" si="0"/>
        <v>15.337340909090909</v>
      </c>
      <c r="R62" s="9">
        <f t="shared" si="1"/>
        <v>1205.0096168393225</v>
      </c>
      <c r="S62" s="10">
        <f t="shared" si="2"/>
        <v>1074.941674254525</v>
      </c>
      <c r="T62" s="7">
        <v>73.099999999999994</v>
      </c>
      <c r="U62" s="7">
        <v>64.099999999999994</v>
      </c>
    </row>
    <row r="63" spans="1:21" x14ac:dyDescent="0.25">
      <c r="A63" s="4">
        <v>2023</v>
      </c>
      <c r="B63" s="3" t="s">
        <v>22</v>
      </c>
      <c r="C63" s="3" t="s">
        <v>23</v>
      </c>
      <c r="D63" s="3" t="s">
        <v>24</v>
      </c>
      <c r="E63" s="3" t="s">
        <v>25</v>
      </c>
      <c r="F63" s="3" t="s">
        <v>96</v>
      </c>
      <c r="G63" s="3">
        <v>402</v>
      </c>
      <c r="H63" s="3">
        <v>2</v>
      </c>
      <c r="I63" s="3">
        <v>4</v>
      </c>
      <c r="J63" s="3">
        <v>15</v>
      </c>
      <c r="K63" s="3">
        <v>1</v>
      </c>
      <c r="L63" s="2" t="s">
        <v>87</v>
      </c>
      <c r="M63" s="2" t="s">
        <v>53</v>
      </c>
      <c r="N63" s="3">
        <v>14.36</v>
      </c>
      <c r="O63" s="3">
        <v>14.7</v>
      </c>
      <c r="P63" s="3">
        <v>47.2</v>
      </c>
      <c r="Q63" s="9">
        <f t="shared" si="0"/>
        <v>13.91940909090909</v>
      </c>
      <c r="R63" s="9">
        <f t="shared" si="1"/>
        <v>1093.6068980069592</v>
      </c>
      <c r="S63" s="10">
        <f t="shared" si="2"/>
        <v>975.56369135321961</v>
      </c>
      <c r="T63" s="7">
        <v>71</v>
      </c>
      <c r="U63" s="7">
        <v>57</v>
      </c>
    </row>
    <row r="64" spans="1:21" x14ac:dyDescent="0.25">
      <c r="A64" s="4">
        <v>2023</v>
      </c>
      <c r="B64" s="3" t="s">
        <v>22</v>
      </c>
      <c r="C64" s="3" t="s">
        <v>23</v>
      </c>
      <c r="D64" s="3" t="s">
        <v>24</v>
      </c>
      <c r="E64" s="3" t="s">
        <v>25</v>
      </c>
      <c r="F64" s="3" t="s">
        <v>97</v>
      </c>
      <c r="G64" s="3">
        <v>403</v>
      </c>
      <c r="H64" s="3">
        <v>3</v>
      </c>
      <c r="I64" s="3">
        <v>4</v>
      </c>
      <c r="J64" s="3">
        <v>16</v>
      </c>
      <c r="K64" s="3">
        <v>1</v>
      </c>
      <c r="L64" s="2" t="s">
        <v>87</v>
      </c>
      <c r="M64" s="2" t="s">
        <v>658</v>
      </c>
      <c r="N64" s="3">
        <v>15.35</v>
      </c>
      <c r="O64" s="3">
        <v>17.399999999999999</v>
      </c>
      <c r="P64" s="3">
        <v>46.7</v>
      </c>
      <c r="Q64" s="9">
        <f t="shared" si="0"/>
        <v>14.408068181818182</v>
      </c>
      <c r="R64" s="9">
        <f t="shared" si="1"/>
        <v>1131.9994008137785</v>
      </c>
      <c r="S64" s="10">
        <f t="shared" si="2"/>
        <v>1009.8121327509175</v>
      </c>
      <c r="T64" s="7">
        <v>72.3</v>
      </c>
      <c r="U64" s="7">
        <v>67.599999999999994</v>
      </c>
    </row>
    <row r="65" spans="1:21" x14ac:dyDescent="0.25">
      <c r="A65" s="4">
        <v>2023</v>
      </c>
      <c r="B65" s="3" t="s">
        <v>22</v>
      </c>
      <c r="C65" s="3" t="s">
        <v>23</v>
      </c>
      <c r="D65" s="3" t="s">
        <v>24</v>
      </c>
      <c r="E65" s="3" t="s">
        <v>25</v>
      </c>
      <c r="F65" s="3" t="s">
        <v>98</v>
      </c>
      <c r="G65" s="3">
        <v>404</v>
      </c>
      <c r="H65" s="3">
        <v>4</v>
      </c>
      <c r="I65" s="3">
        <v>4</v>
      </c>
      <c r="J65" s="3">
        <v>20</v>
      </c>
      <c r="K65" s="3">
        <v>1</v>
      </c>
      <c r="L65" s="2" t="s">
        <v>87</v>
      </c>
      <c r="M65" s="2" t="s">
        <v>658</v>
      </c>
      <c r="N65" s="3">
        <v>17.559999999999999</v>
      </c>
      <c r="O65" s="3">
        <v>15.2</v>
      </c>
      <c r="P65" s="3">
        <v>47.5</v>
      </c>
      <c r="Q65" s="9">
        <f t="shared" si="0"/>
        <v>16.921454545454544</v>
      </c>
      <c r="R65" s="9">
        <f t="shared" si="1"/>
        <v>1329.4687507464942</v>
      </c>
      <c r="S65" s="10">
        <f t="shared" si="2"/>
        <v>1185.9667714063285</v>
      </c>
      <c r="T65" s="7">
        <v>73.2</v>
      </c>
      <c r="U65" s="7">
        <v>63</v>
      </c>
    </row>
    <row r="66" spans="1:21" x14ac:dyDescent="0.25">
      <c r="A66" s="4">
        <v>2023</v>
      </c>
      <c r="B66" s="3" t="s">
        <v>22</v>
      </c>
      <c r="C66" s="3" t="s">
        <v>23</v>
      </c>
      <c r="D66" s="3" t="s">
        <v>24</v>
      </c>
      <c r="E66" s="3" t="s">
        <v>25</v>
      </c>
      <c r="F66" s="3" t="s">
        <v>99</v>
      </c>
      <c r="G66" s="3">
        <v>405</v>
      </c>
      <c r="H66" s="3">
        <v>5</v>
      </c>
      <c r="I66" s="3">
        <v>4</v>
      </c>
      <c r="J66" s="3">
        <v>9</v>
      </c>
      <c r="K66" s="3">
        <v>1</v>
      </c>
      <c r="L66" s="2" t="s">
        <v>100</v>
      </c>
      <c r="M66" s="2" t="s">
        <v>53</v>
      </c>
      <c r="N66" s="3">
        <v>17.52</v>
      </c>
      <c r="O66" s="3">
        <v>15</v>
      </c>
      <c r="P66" s="3">
        <v>47.7</v>
      </c>
      <c r="Q66" s="9">
        <f t="shared" si="0"/>
        <v>16.922727272727272</v>
      </c>
      <c r="R66" s="9">
        <f t="shared" si="1"/>
        <v>1329.568745172669</v>
      </c>
      <c r="S66" s="10">
        <f t="shared" si="2"/>
        <v>1186.0559725001508</v>
      </c>
      <c r="T66" s="7">
        <v>71.8</v>
      </c>
      <c r="U66" s="7">
        <v>57</v>
      </c>
    </row>
    <row r="67" spans="1:21" x14ac:dyDescent="0.25">
      <c r="A67" s="4">
        <v>2023</v>
      </c>
      <c r="B67" s="3" t="s">
        <v>22</v>
      </c>
      <c r="C67" s="3" t="s">
        <v>23</v>
      </c>
      <c r="D67" s="3" t="s">
        <v>24</v>
      </c>
      <c r="E67" s="3" t="s">
        <v>25</v>
      </c>
      <c r="F67" s="3" t="s">
        <v>101</v>
      </c>
      <c r="G67" s="3">
        <v>406</v>
      </c>
      <c r="H67" s="3">
        <v>6</v>
      </c>
      <c r="I67" s="3">
        <v>4</v>
      </c>
      <c r="J67" s="3">
        <v>6</v>
      </c>
      <c r="K67" s="3">
        <v>2</v>
      </c>
      <c r="L67" s="2" t="s">
        <v>100</v>
      </c>
      <c r="M67" s="2" t="s">
        <v>53</v>
      </c>
      <c r="N67" s="3">
        <v>18.91</v>
      </c>
      <c r="O67" s="3">
        <v>14.8</v>
      </c>
      <c r="P67" s="3">
        <v>47.5</v>
      </c>
      <c r="Q67" s="9">
        <f t="shared" ref="Q67:Q81" si="3">N67*(1-O67/100)/(1-0.12)</f>
        <v>18.30831818181818</v>
      </c>
      <c r="R67" s="9">
        <f t="shared" ref="R67:R81" si="4">((10000*Q67*12%/2.205))/((4.66*16)/10.764)</f>
        <v>1438.4305342113432</v>
      </c>
      <c r="S67" s="10">
        <f t="shared" ref="S67:S81" si="5">R67/1.121</f>
        <v>1283.1672918923668</v>
      </c>
      <c r="T67" s="7">
        <v>72.099999999999994</v>
      </c>
      <c r="U67" s="7">
        <v>64.2</v>
      </c>
    </row>
    <row r="68" spans="1:21" x14ac:dyDescent="0.25">
      <c r="A68" s="4">
        <v>2023</v>
      </c>
      <c r="B68" s="3" t="s">
        <v>22</v>
      </c>
      <c r="C68" s="3" t="s">
        <v>23</v>
      </c>
      <c r="D68" s="3" t="s">
        <v>24</v>
      </c>
      <c r="E68" s="3" t="s">
        <v>25</v>
      </c>
      <c r="F68" s="3" t="s">
        <v>102</v>
      </c>
      <c r="G68" s="3">
        <v>407</v>
      </c>
      <c r="H68" s="3">
        <v>7</v>
      </c>
      <c r="I68" s="3">
        <v>4</v>
      </c>
      <c r="J68" s="3">
        <v>15</v>
      </c>
      <c r="K68" s="3">
        <v>2</v>
      </c>
      <c r="L68" s="2" t="s">
        <v>100</v>
      </c>
      <c r="M68" s="2" t="s">
        <v>53</v>
      </c>
      <c r="N68" s="3">
        <v>13.98</v>
      </c>
      <c r="O68" s="3">
        <v>13.6</v>
      </c>
      <c r="P68" s="3">
        <v>47.6</v>
      </c>
      <c r="Q68" s="9">
        <f t="shared" si="3"/>
        <v>13.725818181818182</v>
      </c>
      <c r="R68" s="9">
        <f t="shared" si="4"/>
        <v>1078.3970315398888</v>
      </c>
      <c r="S68" s="10">
        <f t="shared" si="5"/>
        <v>961.99556783219339</v>
      </c>
      <c r="T68" s="7">
        <v>70.3</v>
      </c>
      <c r="U68" s="7">
        <v>55</v>
      </c>
    </row>
    <row r="69" spans="1:21" x14ac:dyDescent="0.25">
      <c r="A69" s="4">
        <v>2023</v>
      </c>
      <c r="B69" s="3" t="s">
        <v>22</v>
      </c>
      <c r="C69" s="3" t="s">
        <v>23</v>
      </c>
      <c r="D69" s="3" t="s">
        <v>24</v>
      </c>
      <c r="E69" s="3" t="s">
        <v>25</v>
      </c>
      <c r="F69" s="3" t="s">
        <v>103</v>
      </c>
      <c r="G69" s="3">
        <v>408</v>
      </c>
      <c r="H69" s="3">
        <v>8</v>
      </c>
      <c r="I69" s="3">
        <v>4</v>
      </c>
      <c r="J69" s="3">
        <v>16</v>
      </c>
      <c r="K69" s="3">
        <v>2</v>
      </c>
      <c r="L69" s="2" t="s">
        <v>100</v>
      </c>
      <c r="M69" s="2" t="s">
        <v>658</v>
      </c>
      <c r="N69" s="3">
        <v>14.82</v>
      </c>
      <c r="O69" s="3">
        <v>14.2</v>
      </c>
      <c r="P69" s="3">
        <v>47.9</v>
      </c>
      <c r="Q69" s="9">
        <f t="shared" si="3"/>
        <v>14.4495</v>
      </c>
      <c r="R69" s="9">
        <f t="shared" si="4"/>
        <v>1135.254576508715</v>
      </c>
      <c r="S69" s="10">
        <f t="shared" si="5"/>
        <v>1012.715946930165</v>
      </c>
      <c r="T69" s="7">
        <v>73</v>
      </c>
      <c r="U69" s="7">
        <v>68.2</v>
      </c>
    </row>
    <row r="70" spans="1:21" x14ac:dyDescent="0.25">
      <c r="A70" s="4">
        <v>2023</v>
      </c>
      <c r="B70" s="3" t="s">
        <v>22</v>
      </c>
      <c r="C70" s="3" t="s">
        <v>23</v>
      </c>
      <c r="D70" s="3" t="s">
        <v>24</v>
      </c>
      <c r="E70" s="3" t="s">
        <v>25</v>
      </c>
      <c r="F70" s="3" t="s">
        <v>104</v>
      </c>
      <c r="G70" s="3">
        <v>409</v>
      </c>
      <c r="H70" s="3">
        <v>9</v>
      </c>
      <c r="I70" s="3">
        <v>4</v>
      </c>
      <c r="J70" s="3">
        <v>20</v>
      </c>
      <c r="K70" s="3">
        <v>2</v>
      </c>
      <c r="L70" s="2" t="s">
        <v>100</v>
      </c>
      <c r="M70" s="2" t="s">
        <v>658</v>
      </c>
      <c r="N70" s="3">
        <v>17.95</v>
      </c>
      <c r="O70" s="3">
        <v>16.3</v>
      </c>
      <c r="P70" s="3">
        <v>47.6</v>
      </c>
      <c r="Q70" s="9">
        <f t="shared" si="3"/>
        <v>17.072897727272725</v>
      </c>
      <c r="R70" s="9">
        <f t="shared" si="4"/>
        <v>1341.3671946539048</v>
      </c>
      <c r="S70" s="10">
        <f t="shared" si="5"/>
        <v>1196.5809051328322</v>
      </c>
      <c r="T70" s="7">
        <v>72.400000000000006</v>
      </c>
      <c r="U70" s="7">
        <v>65</v>
      </c>
    </row>
    <row r="71" spans="1:21" x14ac:dyDescent="0.25">
      <c r="A71" s="4">
        <v>2023</v>
      </c>
      <c r="B71" s="3" t="s">
        <v>22</v>
      </c>
      <c r="C71" s="3" t="s">
        <v>23</v>
      </c>
      <c r="D71" s="3" t="s">
        <v>24</v>
      </c>
      <c r="E71" s="3" t="s">
        <v>25</v>
      </c>
      <c r="F71" s="3" t="s">
        <v>105</v>
      </c>
      <c r="G71" s="3">
        <v>410</v>
      </c>
      <c r="H71" s="3">
        <v>10</v>
      </c>
      <c r="I71" s="3">
        <v>4</v>
      </c>
      <c r="J71" s="3">
        <v>9</v>
      </c>
      <c r="K71" s="3">
        <v>2</v>
      </c>
      <c r="L71" s="2" t="s">
        <v>100</v>
      </c>
      <c r="M71" s="2" t="s">
        <v>53</v>
      </c>
      <c r="N71" s="3">
        <v>14.59</v>
      </c>
      <c r="O71" s="3">
        <v>13.8</v>
      </c>
      <c r="P71" s="3">
        <v>48</v>
      </c>
      <c r="Q71" s="9">
        <f t="shared" si="3"/>
        <v>14.291568181818182</v>
      </c>
      <c r="R71" s="9">
        <f t="shared" si="4"/>
        <v>1122.8463395892886</v>
      </c>
      <c r="S71" s="10">
        <f t="shared" si="5"/>
        <v>1001.6470469128355</v>
      </c>
      <c r="T71" s="7">
        <v>72.900000000000006</v>
      </c>
      <c r="U71" s="7">
        <v>69</v>
      </c>
    </row>
    <row r="72" spans="1:21" x14ac:dyDescent="0.25">
      <c r="A72" s="4">
        <v>2023</v>
      </c>
      <c r="B72" s="3" t="s">
        <v>22</v>
      </c>
      <c r="C72" s="3" t="s">
        <v>23</v>
      </c>
      <c r="D72" s="3" t="s">
        <v>24</v>
      </c>
      <c r="E72" s="3" t="s">
        <v>25</v>
      </c>
      <c r="F72" s="3" t="s">
        <v>106</v>
      </c>
      <c r="G72" s="3">
        <v>411</v>
      </c>
      <c r="H72" s="3">
        <v>11</v>
      </c>
      <c r="I72" s="3">
        <v>4</v>
      </c>
      <c r="J72" s="3">
        <v>6</v>
      </c>
      <c r="K72" s="3">
        <v>3</v>
      </c>
      <c r="L72" s="2" t="s">
        <v>100</v>
      </c>
      <c r="M72" s="2" t="s">
        <v>53</v>
      </c>
      <c r="N72" s="3">
        <v>16.2</v>
      </c>
      <c r="O72" s="3">
        <v>12.4</v>
      </c>
      <c r="P72" s="3">
        <v>48.5</v>
      </c>
      <c r="Q72" s="9">
        <f t="shared" si="3"/>
        <v>16.126363636363635</v>
      </c>
      <c r="R72" s="9">
        <f t="shared" si="4"/>
        <v>1267.0008042233669</v>
      </c>
      <c r="S72" s="10">
        <f t="shared" si="5"/>
        <v>1130.2415737942613</v>
      </c>
      <c r="T72" s="7">
        <v>73</v>
      </c>
      <c r="U72" s="7">
        <v>65.3</v>
      </c>
    </row>
    <row r="73" spans="1:21" x14ac:dyDescent="0.25">
      <c r="A73" s="4">
        <v>2023</v>
      </c>
      <c r="B73" s="3" t="s">
        <v>22</v>
      </c>
      <c r="C73" s="3" t="s">
        <v>23</v>
      </c>
      <c r="D73" s="3" t="s">
        <v>24</v>
      </c>
      <c r="E73" s="3" t="s">
        <v>25</v>
      </c>
      <c r="F73" s="3" t="s">
        <v>107</v>
      </c>
      <c r="G73" s="3">
        <v>412</v>
      </c>
      <c r="H73" s="3">
        <v>12</v>
      </c>
      <c r="I73" s="3">
        <v>4</v>
      </c>
      <c r="J73" s="3">
        <v>15</v>
      </c>
      <c r="K73" s="3">
        <v>3</v>
      </c>
      <c r="L73" s="2" t="s">
        <v>100</v>
      </c>
      <c r="M73" s="2" t="s">
        <v>53</v>
      </c>
      <c r="N73" s="3">
        <v>14.11</v>
      </c>
      <c r="O73" s="3">
        <v>11.7</v>
      </c>
      <c r="P73" s="3">
        <v>48.5</v>
      </c>
      <c r="Q73" s="9">
        <f t="shared" si="3"/>
        <v>14.158102272727273</v>
      </c>
      <c r="R73" s="9">
        <f t="shared" si="4"/>
        <v>1112.3603169515952</v>
      </c>
      <c r="S73" s="10">
        <f t="shared" si="5"/>
        <v>992.29287863657021</v>
      </c>
      <c r="T73" s="7">
        <v>70.8</v>
      </c>
      <c r="U73" s="7">
        <v>56.1</v>
      </c>
    </row>
    <row r="74" spans="1:21" x14ac:dyDescent="0.25">
      <c r="A74" s="4">
        <v>2023</v>
      </c>
      <c r="B74" s="3" t="s">
        <v>22</v>
      </c>
      <c r="C74" s="3" t="s">
        <v>23</v>
      </c>
      <c r="D74" s="3" t="s">
        <v>24</v>
      </c>
      <c r="E74" s="3" t="s">
        <v>25</v>
      </c>
      <c r="F74" s="3" t="s">
        <v>108</v>
      </c>
      <c r="G74" s="3">
        <v>413</v>
      </c>
      <c r="H74" s="3">
        <v>13</v>
      </c>
      <c r="I74" s="3">
        <v>4</v>
      </c>
      <c r="J74" s="3">
        <v>16</v>
      </c>
      <c r="K74" s="3">
        <v>3</v>
      </c>
      <c r="L74" s="2" t="s">
        <v>100</v>
      </c>
      <c r="M74" s="2" t="s">
        <v>658</v>
      </c>
      <c r="N74" s="3">
        <v>14.1</v>
      </c>
      <c r="O74" s="3">
        <v>12.7</v>
      </c>
      <c r="P74" s="3">
        <v>48.6</v>
      </c>
      <c r="Q74" s="9">
        <f t="shared" si="3"/>
        <v>13.987840909090909</v>
      </c>
      <c r="R74" s="9">
        <f t="shared" si="4"/>
        <v>1098.9833840286014</v>
      </c>
      <c r="S74" s="10">
        <f t="shared" si="5"/>
        <v>980.35984302283805</v>
      </c>
      <c r="T74" s="7">
        <v>72.599999999999994</v>
      </c>
      <c r="U74" s="7">
        <v>68.099999999999994</v>
      </c>
    </row>
    <row r="75" spans="1:21" x14ac:dyDescent="0.25">
      <c r="A75" s="4">
        <v>2023</v>
      </c>
      <c r="B75" s="3" t="s">
        <v>22</v>
      </c>
      <c r="C75" s="3" t="s">
        <v>23</v>
      </c>
      <c r="D75" s="3" t="s">
        <v>24</v>
      </c>
      <c r="E75" s="3" t="s">
        <v>25</v>
      </c>
      <c r="F75" s="3" t="s">
        <v>109</v>
      </c>
      <c r="G75" s="3">
        <v>414</v>
      </c>
      <c r="H75" s="3">
        <v>14</v>
      </c>
      <c r="I75" s="3">
        <v>4</v>
      </c>
      <c r="J75" s="3">
        <v>20</v>
      </c>
      <c r="K75" s="3">
        <v>3</v>
      </c>
      <c r="L75" s="2" t="s">
        <v>100</v>
      </c>
      <c r="M75" s="2" t="s">
        <v>658</v>
      </c>
      <c r="N75" s="3">
        <v>15.3</v>
      </c>
      <c r="O75" s="3">
        <v>13.5</v>
      </c>
      <c r="P75" s="3">
        <v>48.4</v>
      </c>
      <c r="Q75" s="9">
        <f t="shared" si="3"/>
        <v>15.039204545454545</v>
      </c>
      <c r="R75" s="9">
        <f t="shared" si="4"/>
        <v>1181.5859225079028</v>
      </c>
      <c r="S75" s="10">
        <f t="shared" si="5"/>
        <v>1054.0463180266752</v>
      </c>
      <c r="T75" s="7">
        <v>72.099999999999994</v>
      </c>
      <c r="U75" s="7">
        <v>64.3</v>
      </c>
    </row>
    <row r="76" spans="1:21" x14ac:dyDescent="0.25">
      <c r="A76" s="4">
        <v>2023</v>
      </c>
      <c r="B76" s="3" t="s">
        <v>22</v>
      </c>
      <c r="C76" s="3" t="s">
        <v>23</v>
      </c>
      <c r="D76" s="3" t="s">
        <v>24</v>
      </c>
      <c r="E76" s="3" t="s">
        <v>25</v>
      </c>
      <c r="F76" s="3" t="s">
        <v>110</v>
      </c>
      <c r="G76" s="3">
        <v>415</v>
      </c>
      <c r="H76" s="3">
        <v>15</v>
      </c>
      <c r="I76" s="3">
        <v>4</v>
      </c>
      <c r="J76" s="3">
        <v>9</v>
      </c>
      <c r="K76" s="3">
        <v>3</v>
      </c>
      <c r="L76" s="2" t="s">
        <v>100</v>
      </c>
      <c r="M76" s="2" t="s">
        <v>53</v>
      </c>
      <c r="N76" s="3">
        <v>17.239999999999998</v>
      </c>
      <c r="O76" s="3">
        <v>10.9</v>
      </c>
      <c r="P76" s="3">
        <v>49.4</v>
      </c>
      <c r="Q76" s="9">
        <f t="shared" si="3"/>
        <v>17.455500000000001</v>
      </c>
      <c r="R76" s="9">
        <f t="shared" si="4"/>
        <v>1371.4271262152929</v>
      </c>
      <c r="S76" s="10">
        <f t="shared" si="5"/>
        <v>1223.396187524793</v>
      </c>
      <c r="T76" s="7">
        <v>72.099999999999994</v>
      </c>
      <c r="U76" s="7">
        <v>56.8</v>
      </c>
    </row>
    <row r="77" spans="1:21" x14ac:dyDescent="0.25">
      <c r="A77" s="4">
        <v>2023</v>
      </c>
      <c r="B77" s="3" t="s">
        <v>22</v>
      </c>
      <c r="C77" s="3" t="s">
        <v>23</v>
      </c>
      <c r="D77" s="3" t="s">
        <v>24</v>
      </c>
      <c r="E77" s="3" t="s">
        <v>25</v>
      </c>
      <c r="F77" s="3" t="s">
        <v>111</v>
      </c>
      <c r="G77" s="3">
        <v>416</v>
      </c>
      <c r="H77" s="3">
        <v>16</v>
      </c>
      <c r="I77" s="3">
        <v>4</v>
      </c>
      <c r="J77" s="3">
        <v>6</v>
      </c>
      <c r="K77" s="3">
        <v>4</v>
      </c>
      <c r="L77" s="2" t="s">
        <v>100</v>
      </c>
      <c r="M77" s="2" t="s">
        <v>53</v>
      </c>
      <c r="N77" s="3">
        <v>16.420000000000002</v>
      </c>
      <c r="O77" s="3">
        <v>11.6</v>
      </c>
      <c r="P77" s="3">
        <v>48.8</v>
      </c>
      <c r="Q77" s="9">
        <f t="shared" si="3"/>
        <v>16.494636363636367</v>
      </c>
      <c r="R77" s="9">
        <f t="shared" si="4"/>
        <v>1295.9349056829133</v>
      </c>
      <c r="S77" s="10">
        <f t="shared" si="5"/>
        <v>1156.0525474423848</v>
      </c>
      <c r="T77" s="7">
        <v>72.5</v>
      </c>
      <c r="U77" s="7">
        <v>65</v>
      </c>
    </row>
    <row r="78" spans="1:21" x14ac:dyDescent="0.25">
      <c r="A78" s="4">
        <v>2023</v>
      </c>
      <c r="B78" s="3" t="s">
        <v>22</v>
      </c>
      <c r="C78" s="3" t="s">
        <v>23</v>
      </c>
      <c r="D78" s="3" t="s">
        <v>24</v>
      </c>
      <c r="E78" s="3" t="s">
        <v>25</v>
      </c>
      <c r="F78" s="3" t="s">
        <v>112</v>
      </c>
      <c r="G78" s="3">
        <v>417</v>
      </c>
      <c r="H78" s="3">
        <v>17</v>
      </c>
      <c r="I78" s="3">
        <v>4</v>
      </c>
      <c r="J78" s="3">
        <v>15</v>
      </c>
      <c r="K78" s="3">
        <v>4</v>
      </c>
      <c r="L78" s="2" t="s">
        <v>113</v>
      </c>
      <c r="M78" s="2" t="s">
        <v>53</v>
      </c>
      <c r="N78" s="3">
        <v>12.73</v>
      </c>
      <c r="O78" s="3">
        <v>10.3</v>
      </c>
      <c r="P78" s="3">
        <v>49.3</v>
      </c>
      <c r="Q78" s="9">
        <f t="shared" si="3"/>
        <v>12.975920454545456</v>
      </c>
      <c r="R78" s="9">
        <f t="shared" si="4"/>
        <v>1019.4797799533391</v>
      </c>
      <c r="S78" s="10">
        <f t="shared" si="5"/>
        <v>909.43780548915174</v>
      </c>
      <c r="T78" s="7">
        <v>70.099999999999994</v>
      </c>
      <c r="U78" s="7">
        <v>52.8</v>
      </c>
    </row>
    <row r="79" spans="1:21" x14ac:dyDescent="0.25">
      <c r="A79" s="4">
        <v>2023</v>
      </c>
      <c r="B79" s="3" t="s">
        <v>22</v>
      </c>
      <c r="C79" s="3" t="s">
        <v>23</v>
      </c>
      <c r="D79" s="3" t="s">
        <v>24</v>
      </c>
      <c r="E79" s="3" t="s">
        <v>25</v>
      </c>
      <c r="F79" s="3" t="s">
        <v>114</v>
      </c>
      <c r="G79" s="3">
        <v>418</v>
      </c>
      <c r="H79" s="3">
        <v>18</v>
      </c>
      <c r="I79" s="3">
        <v>4</v>
      </c>
      <c r="J79" s="3">
        <v>16</v>
      </c>
      <c r="K79" s="3">
        <v>4</v>
      </c>
      <c r="L79" s="2" t="s">
        <v>113</v>
      </c>
      <c r="M79" s="2" t="s">
        <v>658</v>
      </c>
      <c r="N79" s="3">
        <v>14.04</v>
      </c>
      <c r="O79" s="3">
        <v>11.9</v>
      </c>
      <c r="P79" s="3">
        <v>48.8</v>
      </c>
      <c r="Q79" s="9">
        <f t="shared" si="3"/>
        <v>14.055954545454545</v>
      </c>
      <c r="R79" s="9">
        <f t="shared" si="4"/>
        <v>1104.3348714437</v>
      </c>
      <c r="S79" s="10">
        <f t="shared" si="5"/>
        <v>985.1336944190009</v>
      </c>
      <c r="T79" s="7">
        <v>71.900000000000006</v>
      </c>
      <c r="U79" s="7">
        <v>66.400000000000006</v>
      </c>
    </row>
    <row r="80" spans="1:21" x14ac:dyDescent="0.25">
      <c r="A80" s="4">
        <v>2023</v>
      </c>
      <c r="B80" s="3" t="s">
        <v>22</v>
      </c>
      <c r="C80" s="3" t="s">
        <v>23</v>
      </c>
      <c r="D80" s="3" t="s">
        <v>24</v>
      </c>
      <c r="E80" s="3" t="s">
        <v>25</v>
      </c>
      <c r="F80" s="3" t="s">
        <v>115</v>
      </c>
      <c r="G80" s="3">
        <v>419</v>
      </c>
      <c r="H80" s="3">
        <v>19</v>
      </c>
      <c r="I80" s="3">
        <v>4</v>
      </c>
      <c r="J80" s="3">
        <v>20</v>
      </c>
      <c r="K80" s="3">
        <v>4</v>
      </c>
      <c r="L80" s="2" t="s">
        <v>113</v>
      </c>
      <c r="M80" s="2" t="s">
        <v>658</v>
      </c>
      <c r="N80" s="3">
        <v>14.48</v>
      </c>
      <c r="O80" s="3">
        <v>13.6</v>
      </c>
      <c r="P80" s="3">
        <v>48.5</v>
      </c>
      <c r="Q80" s="9">
        <f t="shared" si="3"/>
        <v>14.216727272727274</v>
      </c>
      <c r="R80" s="9">
        <f t="shared" si="4"/>
        <v>1116.9663102072666</v>
      </c>
      <c r="S80" s="10">
        <f t="shared" si="5"/>
        <v>996.40170402075523</v>
      </c>
      <c r="T80" s="7">
        <v>72</v>
      </c>
      <c r="U80" s="7">
        <v>62.7</v>
      </c>
    </row>
    <row r="81" spans="1:21" x14ac:dyDescent="0.25">
      <c r="A81" s="4">
        <v>2023</v>
      </c>
      <c r="B81" s="3" t="s">
        <v>22</v>
      </c>
      <c r="C81" s="3" t="s">
        <v>23</v>
      </c>
      <c r="D81" s="3" t="s">
        <v>24</v>
      </c>
      <c r="E81" s="3" t="s">
        <v>25</v>
      </c>
      <c r="F81" s="3" t="s">
        <v>116</v>
      </c>
      <c r="G81" s="3">
        <v>420</v>
      </c>
      <c r="H81" s="3">
        <v>20</v>
      </c>
      <c r="I81" s="3">
        <v>4</v>
      </c>
      <c r="J81" s="3">
        <v>9</v>
      </c>
      <c r="K81" s="3">
        <v>4</v>
      </c>
      <c r="L81" s="2" t="s">
        <v>113</v>
      </c>
      <c r="M81" s="2" t="s">
        <v>53</v>
      </c>
      <c r="N81" s="3">
        <v>17.59</v>
      </c>
      <c r="O81" s="3">
        <v>10.5</v>
      </c>
      <c r="P81" s="3">
        <v>49.5</v>
      </c>
      <c r="Q81" s="9">
        <f t="shared" si="3"/>
        <v>17.889829545454546</v>
      </c>
      <c r="R81" s="9">
        <f t="shared" si="4"/>
        <v>1405.5511169547804</v>
      </c>
      <c r="S81" s="10">
        <f t="shared" si="5"/>
        <v>1253.8368572299557</v>
      </c>
      <c r="T81" s="7">
        <v>71.099999999999994</v>
      </c>
      <c r="U81" s="7">
        <v>53.4</v>
      </c>
    </row>
    <row r="82" spans="1:21" x14ac:dyDescent="0.25">
      <c r="A82" s="4">
        <v>2023</v>
      </c>
      <c r="B82" s="3" t="s">
        <v>117</v>
      </c>
      <c r="C82" s="3" t="s">
        <v>118</v>
      </c>
      <c r="D82" s="3" t="s">
        <v>119</v>
      </c>
      <c r="E82" s="3" t="s">
        <v>120</v>
      </c>
      <c r="F82" s="3" t="s">
        <v>121</v>
      </c>
      <c r="G82" s="3">
        <v>101</v>
      </c>
      <c r="H82" s="3">
        <v>1</v>
      </c>
      <c r="I82" s="3">
        <v>1</v>
      </c>
      <c r="J82" s="3">
        <v>1</v>
      </c>
      <c r="K82" s="3">
        <v>2</v>
      </c>
      <c r="L82" s="2" t="s">
        <v>100</v>
      </c>
      <c r="M82" s="2" t="s">
        <v>30</v>
      </c>
      <c r="N82" s="2">
        <v>13.54</v>
      </c>
      <c r="O82" s="2">
        <v>13.7</v>
      </c>
      <c r="P82" s="2">
        <v>45.6</v>
      </c>
      <c r="Q82" s="9">
        <f t="shared" ref="Q82:Q113" si="6">N82*(1-O82/100)/(1-0.12)</f>
        <v>13.278431818181819</v>
      </c>
      <c r="R82" s="7">
        <f t="shared" ref="R82:R113" si="7">((10000*Q82*12%/2.205))/((4.66*16)/10.764)</f>
        <v>1043.2472051247341</v>
      </c>
      <c r="S82" s="10">
        <f t="shared" ref="S82:S113" si="8">R82/1.121</f>
        <v>930.63979047701525</v>
      </c>
      <c r="T82" s="7">
        <v>71.2</v>
      </c>
      <c r="U82" s="7">
        <v>58.8</v>
      </c>
    </row>
    <row r="83" spans="1:21" x14ac:dyDescent="0.25">
      <c r="A83" s="4">
        <v>2023</v>
      </c>
      <c r="B83" s="3" t="s">
        <v>117</v>
      </c>
      <c r="C83" s="3" t="s">
        <v>118</v>
      </c>
      <c r="D83" s="3" t="s">
        <v>119</v>
      </c>
      <c r="E83" s="3" t="s">
        <v>120</v>
      </c>
      <c r="F83" s="3" t="s">
        <v>122</v>
      </c>
      <c r="G83" s="3">
        <v>102</v>
      </c>
      <c r="H83" s="3">
        <v>2</v>
      </c>
      <c r="I83" s="3">
        <v>1</v>
      </c>
      <c r="J83" s="3">
        <v>1</v>
      </c>
      <c r="K83" s="3">
        <v>14</v>
      </c>
      <c r="L83" s="2" t="s">
        <v>87</v>
      </c>
      <c r="M83" s="2" t="s">
        <v>30</v>
      </c>
      <c r="N83" s="2">
        <v>9.81</v>
      </c>
      <c r="O83" s="2">
        <v>11.4</v>
      </c>
      <c r="P83" s="2">
        <v>40.299999999999997</v>
      </c>
      <c r="Q83" s="9">
        <f t="shared" si="6"/>
        <v>9.8768863636363644</v>
      </c>
      <c r="R83" s="7">
        <f t="shared" si="7"/>
        <v>775.99781625486719</v>
      </c>
      <c r="S83" s="10">
        <f t="shared" si="8"/>
        <v>692.23712422378878</v>
      </c>
      <c r="T83" s="7">
        <v>69.8</v>
      </c>
      <c r="U83" s="7">
        <v>60.5</v>
      </c>
    </row>
    <row r="84" spans="1:21" x14ac:dyDescent="0.25">
      <c r="A84" s="4">
        <v>2023</v>
      </c>
      <c r="B84" s="3" t="s">
        <v>117</v>
      </c>
      <c r="C84" s="3" t="s">
        <v>118</v>
      </c>
      <c r="D84" s="3" t="s">
        <v>119</v>
      </c>
      <c r="E84" s="3" t="s">
        <v>120</v>
      </c>
      <c r="F84" s="3" t="s">
        <v>123</v>
      </c>
      <c r="G84" s="3">
        <v>103</v>
      </c>
      <c r="H84" s="3">
        <v>3</v>
      </c>
      <c r="I84" s="3">
        <v>1</v>
      </c>
      <c r="J84" s="3">
        <v>1</v>
      </c>
      <c r="K84" s="3">
        <v>20</v>
      </c>
      <c r="L84" s="2" t="s">
        <v>82</v>
      </c>
      <c r="M84" s="2" t="s">
        <v>658</v>
      </c>
      <c r="N84" s="2">
        <v>13.99</v>
      </c>
      <c r="O84" s="2">
        <v>15.7</v>
      </c>
      <c r="P84" s="2">
        <v>45.5</v>
      </c>
      <c r="Q84" s="9">
        <f t="shared" si="6"/>
        <v>13.401784090909089</v>
      </c>
      <c r="R84" s="7">
        <f t="shared" si="7"/>
        <v>1052.9386291972892</v>
      </c>
      <c r="S84" s="10">
        <f t="shared" si="8"/>
        <v>939.28512863272897</v>
      </c>
      <c r="T84" s="7">
        <v>72.599999999999994</v>
      </c>
      <c r="U84" s="7">
        <v>66.400000000000006</v>
      </c>
    </row>
    <row r="85" spans="1:21" x14ac:dyDescent="0.25">
      <c r="A85" s="4">
        <v>2023</v>
      </c>
      <c r="B85" s="3" t="s">
        <v>117</v>
      </c>
      <c r="C85" s="3" t="s">
        <v>118</v>
      </c>
      <c r="D85" s="3" t="s">
        <v>119</v>
      </c>
      <c r="E85" s="3" t="s">
        <v>120</v>
      </c>
      <c r="F85" s="3" t="s">
        <v>124</v>
      </c>
      <c r="G85" s="3">
        <v>104</v>
      </c>
      <c r="H85" s="3">
        <v>4</v>
      </c>
      <c r="I85" s="3">
        <v>1</v>
      </c>
      <c r="J85" s="3">
        <v>1</v>
      </c>
      <c r="K85" s="3">
        <v>12</v>
      </c>
      <c r="L85" s="2" t="s">
        <v>27</v>
      </c>
      <c r="M85" s="2" t="s">
        <v>53</v>
      </c>
      <c r="N85" s="2">
        <v>12.09</v>
      </c>
      <c r="O85" s="2">
        <v>16.600000000000001</v>
      </c>
      <c r="P85" s="2">
        <v>48</v>
      </c>
      <c r="Q85" s="9">
        <f t="shared" si="6"/>
        <v>11.458022727272727</v>
      </c>
      <c r="R85" s="7">
        <f t="shared" si="7"/>
        <v>900.22303462938032</v>
      </c>
      <c r="S85" s="10">
        <f t="shared" si="8"/>
        <v>803.05355453111531</v>
      </c>
      <c r="T85" s="7">
        <v>74.3</v>
      </c>
      <c r="U85" s="7">
        <v>69</v>
      </c>
    </row>
    <row r="86" spans="1:21" x14ac:dyDescent="0.25">
      <c r="A86" s="4">
        <v>2023</v>
      </c>
      <c r="B86" s="3" t="s">
        <v>117</v>
      </c>
      <c r="C86" s="3" t="s">
        <v>118</v>
      </c>
      <c r="D86" s="3" t="s">
        <v>119</v>
      </c>
      <c r="E86" s="3" t="s">
        <v>120</v>
      </c>
      <c r="F86" s="3" t="s">
        <v>125</v>
      </c>
      <c r="G86" s="3">
        <v>105</v>
      </c>
      <c r="H86" s="3">
        <v>5</v>
      </c>
      <c r="I86" s="3">
        <v>1</v>
      </c>
      <c r="J86" s="3">
        <v>2</v>
      </c>
      <c r="K86" s="3">
        <v>16</v>
      </c>
      <c r="L86" s="2" t="s">
        <v>42</v>
      </c>
      <c r="M86" s="2" t="s">
        <v>658</v>
      </c>
      <c r="N86" s="2">
        <v>10.44</v>
      </c>
      <c r="O86" s="2">
        <v>13.9</v>
      </c>
      <c r="P86" s="2">
        <v>44.4</v>
      </c>
      <c r="Q86" s="9">
        <f t="shared" si="6"/>
        <v>10.214590909090909</v>
      </c>
      <c r="R86" s="7">
        <f t="shared" si="7"/>
        <v>802.53026587146758</v>
      </c>
      <c r="S86" s="10">
        <f t="shared" si="8"/>
        <v>715.90567874350359</v>
      </c>
      <c r="T86" s="7">
        <v>71.2</v>
      </c>
      <c r="U86" s="7">
        <v>64.099999999999994</v>
      </c>
    </row>
    <row r="87" spans="1:21" x14ac:dyDescent="0.25">
      <c r="A87" s="4">
        <v>2023</v>
      </c>
      <c r="B87" s="3" t="s">
        <v>117</v>
      </c>
      <c r="C87" s="3" t="s">
        <v>118</v>
      </c>
      <c r="D87" s="3" t="s">
        <v>119</v>
      </c>
      <c r="E87" s="3" t="s">
        <v>120</v>
      </c>
      <c r="F87" s="3" t="s">
        <v>126</v>
      </c>
      <c r="G87" s="3">
        <v>106</v>
      </c>
      <c r="H87" s="3">
        <v>6</v>
      </c>
      <c r="I87" s="3">
        <v>1</v>
      </c>
      <c r="J87" s="3">
        <v>2</v>
      </c>
      <c r="K87" s="3">
        <v>4</v>
      </c>
      <c r="L87" s="2" t="s">
        <v>56</v>
      </c>
      <c r="M87" s="2" t="s">
        <v>658</v>
      </c>
      <c r="N87" s="2">
        <v>9.8800000000000008</v>
      </c>
      <c r="O87" s="2">
        <v>12</v>
      </c>
      <c r="P87" s="2">
        <v>43.6</v>
      </c>
      <c r="Q87" s="9">
        <f t="shared" si="6"/>
        <v>9.879999999999999</v>
      </c>
      <c r="R87" s="7">
        <f t="shared" si="7"/>
        <v>776.24244547604428</v>
      </c>
      <c r="S87" s="10">
        <f t="shared" si="8"/>
        <v>692.45534832831788</v>
      </c>
      <c r="T87" s="7">
        <v>71.599999999999994</v>
      </c>
      <c r="U87" s="7">
        <v>61.7</v>
      </c>
    </row>
    <row r="88" spans="1:21" x14ac:dyDescent="0.25">
      <c r="A88" s="4">
        <v>2023</v>
      </c>
      <c r="B88" s="3" t="s">
        <v>117</v>
      </c>
      <c r="C88" s="3" t="s">
        <v>118</v>
      </c>
      <c r="D88" s="3" t="s">
        <v>119</v>
      </c>
      <c r="E88" s="3" t="s">
        <v>120</v>
      </c>
      <c r="F88" s="3" t="s">
        <v>127</v>
      </c>
      <c r="G88" s="3">
        <v>107</v>
      </c>
      <c r="H88" s="3">
        <v>7</v>
      </c>
      <c r="I88" s="3">
        <v>1</v>
      </c>
      <c r="J88" s="3">
        <v>2</v>
      </c>
      <c r="K88" s="3">
        <v>12</v>
      </c>
      <c r="L88" s="2" t="s">
        <v>27</v>
      </c>
      <c r="M88" s="2" t="s">
        <v>53</v>
      </c>
      <c r="N88" s="2">
        <v>12.1</v>
      </c>
      <c r="O88" s="2">
        <v>17.100000000000001</v>
      </c>
      <c r="P88" s="2">
        <v>46.6</v>
      </c>
      <c r="Q88" s="9">
        <f t="shared" si="6"/>
        <v>11.39875</v>
      </c>
      <c r="R88" s="7">
        <f t="shared" si="7"/>
        <v>895.56615135324512</v>
      </c>
      <c r="S88" s="10">
        <f t="shared" si="8"/>
        <v>798.89933216168163</v>
      </c>
      <c r="T88" s="7">
        <v>74.099999999999994</v>
      </c>
      <c r="U88" s="7">
        <v>69</v>
      </c>
    </row>
    <row r="89" spans="1:21" x14ac:dyDescent="0.25">
      <c r="A89" s="4">
        <v>2023</v>
      </c>
      <c r="B89" s="3" t="s">
        <v>117</v>
      </c>
      <c r="C89" s="3" t="s">
        <v>118</v>
      </c>
      <c r="D89" s="3" t="s">
        <v>119</v>
      </c>
      <c r="E89" s="3" t="s">
        <v>120</v>
      </c>
      <c r="F89" s="3" t="s">
        <v>128</v>
      </c>
      <c r="G89" s="3">
        <v>108</v>
      </c>
      <c r="H89" s="3">
        <v>8</v>
      </c>
      <c r="I89" s="3">
        <v>1</v>
      </c>
      <c r="J89" s="3">
        <v>2</v>
      </c>
      <c r="K89" s="3">
        <v>5</v>
      </c>
      <c r="L89" s="2" t="s">
        <v>56</v>
      </c>
      <c r="M89" s="2" t="s">
        <v>30</v>
      </c>
      <c r="N89" s="2">
        <v>11.12</v>
      </c>
      <c r="O89" s="2">
        <v>12.2</v>
      </c>
      <c r="P89" s="2">
        <v>44.1</v>
      </c>
      <c r="Q89" s="9">
        <f t="shared" si="6"/>
        <v>11.094727272727271</v>
      </c>
      <c r="R89" s="7">
        <f t="shared" si="7"/>
        <v>871.67998280076733</v>
      </c>
      <c r="S89" s="10">
        <f t="shared" si="8"/>
        <v>777.59142087490397</v>
      </c>
      <c r="T89" s="7">
        <v>71.5</v>
      </c>
      <c r="U89" s="7">
        <v>64</v>
      </c>
    </row>
    <row r="90" spans="1:21" x14ac:dyDescent="0.25">
      <c r="A90" s="4">
        <v>2023</v>
      </c>
      <c r="B90" s="3" t="s">
        <v>117</v>
      </c>
      <c r="C90" s="3" t="s">
        <v>118</v>
      </c>
      <c r="D90" s="3" t="s">
        <v>119</v>
      </c>
      <c r="E90" s="3" t="s">
        <v>120</v>
      </c>
      <c r="F90" s="3" t="s">
        <v>129</v>
      </c>
      <c r="G90" s="3">
        <v>109</v>
      </c>
      <c r="H90" s="3">
        <v>9</v>
      </c>
      <c r="I90" s="3">
        <v>1</v>
      </c>
      <c r="J90" s="3">
        <v>3</v>
      </c>
      <c r="K90" s="3">
        <v>2</v>
      </c>
      <c r="L90" s="2" t="s">
        <v>100</v>
      </c>
      <c r="M90" s="2" t="s">
        <v>30</v>
      </c>
      <c r="N90" s="2">
        <v>13.15</v>
      </c>
      <c r="O90" s="2">
        <v>13.6</v>
      </c>
      <c r="P90" s="2">
        <v>44.6</v>
      </c>
      <c r="Q90" s="9">
        <f t="shared" si="6"/>
        <v>12.910909090909092</v>
      </c>
      <c r="R90" s="7">
        <f t="shared" si="7"/>
        <v>1014.3720289520412</v>
      </c>
      <c r="S90" s="10">
        <f t="shared" si="8"/>
        <v>904.88138175918039</v>
      </c>
      <c r="T90" s="7">
        <v>70.8</v>
      </c>
      <c r="U90" s="7">
        <v>57.5</v>
      </c>
    </row>
    <row r="91" spans="1:21" x14ac:dyDescent="0.25">
      <c r="A91" s="4">
        <v>2023</v>
      </c>
      <c r="B91" s="3" t="s">
        <v>117</v>
      </c>
      <c r="C91" s="3" t="s">
        <v>118</v>
      </c>
      <c r="D91" s="3" t="s">
        <v>119</v>
      </c>
      <c r="E91" s="3" t="s">
        <v>120</v>
      </c>
      <c r="F91" s="3" t="s">
        <v>130</v>
      </c>
      <c r="G91" s="3">
        <v>110</v>
      </c>
      <c r="H91" s="3">
        <v>10</v>
      </c>
      <c r="I91" s="3">
        <v>1</v>
      </c>
      <c r="J91" s="3">
        <v>3</v>
      </c>
      <c r="K91" s="3">
        <v>19</v>
      </c>
      <c r="L91" s="2" t="s">
        <v>113</v>
      </c>
      <c r="M91" s="2" t="s">
        <v>658</v>
      </c>
      <c r="N91" s="2">
        <v>10.58</v>
      </c>
      <c r="O91" s="2">
        <v>15.3</v>
      </c>
      <c r="P91" s="2">
        <v>45.4</v>
      </c>
      <c r="Q91" s="9">
        <f t="shared" si="6"/>
        <v>10.183249999999999</v>
      </c>
      <c r="R91" s="7">
        <f t="shared" si="7"/>
        <v>800.06790312691578</v>
      </c>
      <c r="S91" s="10">
        <f t="shared" si="8"/>
        <v>713.70910180813178</v>
      </c>
      <c r="T91" s="7">
        <v>68.3</v>
      </c>
      <c r="U91" s="7">
        <v>61.2</v>
      </c>
    </row>
    <row r="92" spans="1:21" x14ac:dyDescent="0.25">
      <c r="A92" s="4">
        <v>2023</v>
      </c>
      <c r="B92" s="3" t="s">
        <v>117</v>
      </c>
      <c r="C92" s="3" t="s">
        <v>118</v>
      </c>
      <c r="D92" s="3" t="s">
        <v>119</v>
      </c>
      <c r="E92" s="3" t="s">
        <v>120</v>
      </c>
      <c r="F92" s="3" t="s">
        <v>131</v>
      </c>
      <c r="G92" s="3">
        <v>111</v>
      </c>
      <c r="H92" s="3">
        <v>11</v>
      </c>
      <c r="I92" s="3">
        <v>1</v>
      </c>
      <c r="J92" s="3">
        <v>3</v>
      </c>
      <c r="K92" s="3">
        <v>7</v>
      </c>
      <c r="L92" s="2" t="s">
        <v>69</v>
      </c>
      <c r="M92" s="2" t="s">
        <v>658</v>
      </c>
      <c r="N92" s="2">
        <v>12</v>
      </c>
      <c r="O92" s="2">
        <v>12.3</v>
      </c>
      <c r="P92" s="2">
        <v>44.4</v>
      </c>
      <c r="Q92" s="9">
        <f t="shared" si="6"/>
        <v>11.959090909090911</v>
      </c>
      <c r="R92" s="7">
        <f t="shared" si="7"/>
        <v>939.5904830914028</v>
      </c>
      <c r="S92" s="10">
        <f t="shared" si="8"/>
        <v>838.17170659357964</v>
      </c>
      <c r="T92" s="7">
        <v>69.5</v>
      </c>
      <c r="U92" s="7">
        <v>56.6</v>
      </c>
    </row>
    <row r="93" spans="1:21" x14ac:dyDescent="0.25">
      <c r="A93" s="4">
        <v>2023</v>
      </c>
      <c r="B93" s="3" t="s">
        <v>117</v>
      </c>
      <c r="C93" s="3" t="s">
        <v>118</v>
      </c>
      <c r="D93" s="3" t="s">
        <v>119</v>
      </c>
      <c r="E93" s="3" t="s">
        <v>120</v>
      </c>
      <c r="F93" s="3" t="s">
        <v>132</v>
      </c>
      <c r="G93" s="3">
        <v>112</v>
      </c>
      <c r="H93" s="3">
        <v>12</v>
      </c>
      <c r="I93" s="3">
        <v>1</v>
      </c>
      <c r="J93" s="3">
        <v>3</v>
      </c>
      <c r="K93" s="3">
        <v>4</v>
      </c>
      <c r="L93" s="2" t="s">
        <v>56</v>
      </c>
      <c r="M93" s="2" t="s">
        <v>658</v>
      </c>
      <c r="N93" s="2">
        <v>9.77</v>
      </c>
      <c r="O93" s="2">
        <v>11</v>
      </c>
      <c r="P93" s="2">
        <v>42.6</v>
      </c>
      <c r="Q93" s="9">
        <f t="shared" si="6"/>
        <v>9.8810227272727271</v>
      </c>
      <c r="R93" s="7">
        <f t="shared" si="7"/>
        <v>776.32279813993478</v>
      </c>
      <c r="S93" s="10">
        <f t="shared" si="8"/>
        <v>692.52702777871082</v>
      </c>
      <c r="T93" s="7">
        <v>70.7</v>
      </c>
      <c r="U93" s="7">
        <v>59.8</v>
      </c>
    </row>
    <row r="94" spans="1:21" x14ac:dyDescent="0.25">
      <c r="A94" s="4">
        <v>2023</v>
      </c>
      <c r="B94" s="3" t="s">
        <v>117</v>
      </c>
      <c r="C94" s="3" t="s">
        <v>118</v>
      </c>
      <c r="D94" s="3" t="s">
        <v>119</v>
      </c>
      <c r="E94" s="3" t="s">
        <v>120</v>
      </c>
      <c r="F94" s="3" t="s">
        <v>133</v>
      </c>
      <c r="G94" s="3">
        <v>113</v>
      </c>
      <c r="H94" s="3">
        <v>13</v>
      </c>
      <c r="I94" s="3">
        <v>1</v>
      </c>
      <c r="J94" s="3">
        <v>4</v>
      </c>
      <c r="K94" s="3">
        <v>6</v>
      </c>
      <c r="L94" s="2" t="s">
        <v>56</v>
      </c>
      <c r="M94" s="2" t="s">
        <v>53</v>
      </c>
      <c r="N94" s="2">
        <v>12.25</v>
      </c>
      <c r="O94" s="2">
        <v>12.6</v>
      </c>
      <c r="P94" s="2">
        <v>45.2</v>
      </c>
      <c r="Q94" s="9">
        <f t="shared" si="6"/>
        <v>12.166477272727272</v>
      </c>
      <c r="R94" s="7">
        <f t="shared" si="7"/>
        <v>955.88421771361664</v>
      </c>
      <c r="S94" s="10">
        <f t="shared" si="8"/>
        <v>852.70670625657147</v>
      </c>
      <c r="T94" s="7">
        <v>71.7</v>
      </c>
      <c r="U94" s="7">
        <v>64.400000000000006</v>
      </c>
    </row>
    <row r="95" spans="1:21" x14ac:dyDescent="0.25">
      <c r="A95" s="4">
        <v>2023</v>
      </c>
      <c r="B95" s="3" t="s">
        <v>117</v>
      </c>
      <c r="C95" s="3" t="s">
        <v>118</v>
      </c>
      <c r="D95" s="3" t="s">
        <v>119</v>
      </c>
      <c r="E95" s="3" t="s">
        <v>120</v>
      </c>
      <c r="F95" s="3" t="s">
        <v>134</v>
      </c>
      <c r="G95" s="3">
        <v>114</v>
      </c>
      <c r="H95" s="3">
        <v>14</v>
      </c>
      <c r="I95" s="3">
        <v>1</v>
      </c>
      <c r="J95" s="3">
        <v>4</v>
      </c>
      <c r="K95" s="3">
        <v>15</v>
      </c>
      <c r="L95" s="2" t="s">
        <v>87</v>
      </c>
      <c r="M95" s="2" t="s">
        <v>53</v>
      </c>
      <c r="N95" s="2">
        <v>10.9</v>
      </c>
      <c r="O95" s="2">
        <v>10.6</v>
      </c>
      <c r="P95" s="2">
        <v>40.6</v>
      </c>
      <c r="Q95" s="9">
        <f t="shared" si="6"/>
        <v>11.073409090909092</v>
      </c>
      <c r="R95" s="7">
        <f t="shared" si="7"/>
        <v>870.00507616234154</v>
      </c>
      <c r="S95" s="10">
        <f t="shared" si="8"/>
        <v>776.09730255338229</v>
      </c>
      <c r="T95" s="7">
        <v>70.2</v>
      </c>
      <c r="U95" s="7">
        <v>59.4</v>
      </c>
    </row>
    <row r="96" spans="1:21" x14ac:dyDescent="0.25">
      <c r="A96" s="4">
        <v>2023</v>
      </c>
      <c r="B96" s="3" t="s">
        <v>117</v>
      </c>
      <c r="C96" s="3" t="s">
        <v>118</v>
      </c>
      <c r="D96" s="3" t="s">
        <v>119</v>
      </c>
      <c r="E96" s="3" t="s">
        <v>120</v>
      </c>
      <c r="F96" s="3" t="s">
        <v>135</v>
      </c>
      <c r="G96" s="3">
        <v>115</v>
      </c>
      <c r="H96" s="3">
        <v>15</v>
      </c>
      <c r="I96" s="3">
        <v>1</v>
      </c>
      <c r="J96" s="3">
        <v>4</v>
      </c>
      <c r="K96" s="3">
        <v>4</v>
      </c>
      <c r="L96" s="2" t="s">
        <v>56</v>
      </c>
      <c r="M96" s="2" t="s">
        <v>658</v>
      </c>
      <c r="N96" s="2">
        <v>12.07</v>
      </c>
      <c r="O96" s="2">
        <v>11.9</v>
      </c>
      <c r="P96" s="2">
        <v>45.3</v>
      </c>
      <c r="Q96" s="9">
        <f t="shared" si="6"/>
        <v>12.083715909090909</v>
      </c>
      <c r="R96" s="7">
        <f t="shared" si="7"/>
        <v>949.38190159013254</v>
      </c>
      <c r="S96" s="10">
        <f t="shared" si="8"/>
        <v>846.90624584311558</v>
      </c>
      <c r="T96" s="7">
        <v>71.8</v>
      </c>
      <c r="U96" s="7">
        <v>64.3</v>
      </c>
    </row>
    <row r="97" spans="1:21" x14ac:dyDescent="0.25">
      <c r="A97" s="4">
        <v>2023</v>
      </c>
      <c r="B97" s="3" t="s">
        <v>117</v>
      </c>
      <c r="C97" s="3" t="s">
        <v>118</v>
      </c>
      <c r="D97" s="3" t="s">
        <v>119</v>
      </c>
      <c r="E97" s="3" t="s">
        <v>120</v>
      </c>
      <c r="F97" s="3" t="s">
        <v>136</v>
      </c>
      <c r="G97" s="3">
        <v>116</v>
      </c>
      <c r="H97" s="3">
        <v>16</v>
      </c>
      <c r="I97" s="3">
        <v>1</v>
      </c>
      <c r="J97" s="3">
        <v>4</v>
      </c>
      <c r="K97" s="3">
        <v>14</v>
      </c>
      <c r="L97" s="2" t="s">
        <v>87</v>
      </c>
      <c r="M97" s="2" t="s">
        <v>30</v>
      </c>
      <c r="N97" s="2">
        <v>12.11</v>
      </c>
      <c r="O97" s="2">
        <v>10.8</v>
      </c>
      <c r="P97" s="2">
        <v>40.299999999999997</v>
      </c>
      <c r="Q97" s="9">
        <f t="shared" si="6"/>
        <v>12.275136363636364</v>
      </c>
      <c r="R97" s="7">
        <f t="shared" si="7"/>
        <v>964.42124184828037</v>
      </c>
      <c r="S97" s="10">
        <f t="shared" si="8"/>
        <v>860.32224964164175</v>
      </c>
      <c r="T97" s="7">
        <v>70.400000000000006</v>
      </c>
      <c r="U97" s="7">
        <v>60.3</v>
      </c>
    </row>
    <row r="98" spans="1:21" x14ac:dyDescent="0.25">
      <c r="A98" s="4">
        <v>2023</v>
      </c>
      <c r="B98" s="3" t="s">
        <v>117</v>
      </c>
      <c r="C98" s="3" t="s">
        <v>118</v>
      </c>
      <c r="D98" s="3" t="s">
        <v>119</v>
      </c>
      <c r="E98" s="3" t="s">
        <v>120</v>
      </c>
      <c r="F98" s="3" t="s">
        <v>137</v>
      </c>
      <c r="G98" s="3">
        <v>201</v>
      </c>
      <c r="H98" s="3">
        <v>1</v>
      </c>
      <c r="I98" s="3">
        <v>2</v>
      </c>
      <c r="J98" s="3">
        <v>1</v>
      </c>
      <c r="K98" s="3">
        <v>16</v>
      </c>
      <c r="L98" s="2" t="s">
        <v>42</v>
      </c>
      <c r="M98" s="2" t="s">
        <v>658</v>
      </c>
      <c r="N98" s="2">
        <v>10.210000000000001</v>
      </c>
      <c r="O98" s="2">
        <v>14.7</v>
      </c>
      <c r="P98" s="2">
        <v>45.4</v>
      </c>
      <c r="Q98" s="9">
        <f t="shared" si="6"/>
        <v>9.8967386363636365</v>
      </c>
      <c r="R98" s="7">
        <f t="shared" si="7"/>
        <v>777.5575507417168</v>
      </c>
      <c r="S98" s="10">
        <f t="shared" si="8"/>
        <v>693.62850199974741</v>
      </c>
      <c r="T98" s="7">
        <v>71.599999999999994</v>
      </c>
      <c r="U98" s="7">
        <v>67.599999999999994</v>
      </c>
    </row>
    <row r="99" spans="1:21" x14ac:dyDescent="0.25">
      <c r="A99" s="4">
        <v>2023</v>
      </c>
      <c r="B99" s="3" t="s">
        <v>117</v>
      </c>
      <c r="C99" s="3" t="s">
        <v>118</v>
      </c>
      <c r="D99" s="3" t="s">
        <v>119</v>
      </c>
      <c r="E99" s="3" t="s">
        <v>120</v>
      </c>
      <c r="F99" s="3" t="s">
        <v>138</v>
      </c>
      <c r="G99" s="3">
        <v>202</v>
      </c>
      <c r="H99" s="3">
        <v>2</v>
      </c>
      <c r="I99" s="3">
        <v>2</v>
      </c>
      <c r="J99" s="3">
        <v>1</v>
      </c>
      <c r="K99" s="3">
        <v>3</v>
      </c>
      <c r="L99" s="2" t="s">
        <v>100</v>
      </c>
      <c r="M99" s="2" t="s">
        <v>53</v>
      </c>
      <c r="N99" s="2">
        <v>12.53</v>
      </c>
      <c r="O99" s="2">
        <v>14.5</v>
      </c>
      <c r="P99" s="2">
        <v>45</v>
      </c>
      <c r="Q99" s="9">
        <f t="shared" si="6"/>
        <v>12.174034090909089</v>
      </c>
      <c r="R99" s="7">
        <f t="shared" si="7"/>
        <v>956.47793461902882</v>
      </c>
      <c r="S99" s="10">
        <f t="shared" si="8"/>
        <v>853.23633775114081</v>
      </c>
      <c r="T99" s="7">
        <v>72.099999999999994</v>
      </c>
      <c r="U99" s="7">
        <v>59.7</v>
      </c>
    </row>
    <row r="100" spans="1:21" x14ac:dyDescent="0.25">
      <c r="A100" s="4">
        <v>2023</v>
      </c>
      <c r="B100" s="3" t="s">
        <v>117</v>
      </c>
      <c r="C100" s="3" t="s">
        <v>118</v>
      </c>
      <c r="D100" s="3" t="s">
        <v>119</v>
      </c>
      <c r="E100" s="3" t="s">
        <v>120</v>
      </c>
      <c r="F100" s="3" t="s">
        <v>139</v>
      </c>
      <c r="G100" s="3">
        <v>203</v>
      </c>
      <c r="H100" s="3">
        <v>3</v>
      </c>
      <c r="I100" s="3">
        <v>2</v>
      </c>
      <c r="J100" s="3">
        <v>1</v>
      </c>
      <c r="K100" s="3">
        <v>19</v>
      </c>
      <c r="L100" s="2" t="s">
        <v>113</v>
      </c>
      <c r="M100" s="2" t="s">
        <v>658</v>
      </c>
      <c r="N100" s="2">
        <v>9.73</v>
      </c>
      <c r="O100" s="2">
        <v>15.8</v>
      </c>
      <c r="P100" s="2">
        <v>46.1</v>
      </c>
      <c r="Q100" s="9">
        <f t="shared" si="6"/>
        <v>9.3098409090909087</v>
      </c>
      <c r="R100" s="7">
        <f t="shared" si="7"/>
        <v>731.44672816453919</v>
      </c>
      <c r="S100" s="10">
        <f t="shared" si="8"/>
        <v>652.49485117264874</v>
      </c>
      <c r="T100" s="7">
        <v>68.099999999999994</v>
      </c>
      <c r="U100" s="7">
        <v>60.2</v>
      </c>
    </row>
    <row r="101" spans="1:21" x14ac:dyDescent="0.25">
      <c r="A101" s="4">
        <v>2023</v>
      </c>
      <c r="B101" s="3" t="s">
        <v>117</v>
      </c>
      <c r="C101" s="3" t="s">
        <v>118</v>
      </c>
      <c r="D101" s="3" t="s">
        <v>119</v>
      </c>
      <c r="E101" s="3" t="s">
        <v>120</v>
      </c>
      <c r="F101" s="3" t="s">
        <v>140</v>
      </c>
      <c r="G101" s="3">
        <v>204</v>
      </c>
      <c r="H101" s="3">
        <v>4</v>
      </c>
      <c r="I101" s="3">
        <v>2</v>
      </c>
      <c r="J101" s="3">
        <v>1</v>
      </c>
      <c r="K101" s="3">
        <v>6</v>
      </c>
      <c r="L101" s="2" t="s">
        <v>56</v>
      </c>
      <c r="M101" s="2" t="s">
        <v>53</v>
      </c>
      <c r="N101" s="2">
        <v>11.14</v>
      </c>
      <c r="O101" s="2">
        <v>13.1</v>
      </c>
      <c r="P101" s="2">
        <v>46.6</v>
      </c>
      <c r="Q101" s="9">
        <f t="shared" si="6"/>
        <v>11.00075</v>
      </c>
      <c r="R101" s="7">
        <f t="shared" si="7"/>
        <v>864.29646579661892</v>
      </c>
      <c r="S101" s="10">
        <f t="shared" si="8"/>
        <v>771.00487582213998</v>
      </c>
      <c r="T101" s="7">
        <v>71.400000000000006</v>
      </c>
      <c r="U101" s="7">
        <v>63.7</v>
      </c>
    </row>
    <row r="102" spans="1:21" x14ac:dyDescent="0.25">
      <c r="A102" s="4">
        <v>2023</v>
      </c>
      <c r="B102" s="3" t="s">
        <v>117</v>
      </c>
      <c r="C102" s="3" t="s">
        <v>118</v>
      </c>
      <c r="D102" s="3" t="s">
        <v>119</v>
      </c>
      <c r="E102" s="3" t="s">
        <v>120</v>
      </c>
      <c r="F102" s="3" t="s">
        <v>141</v>
      </c>
      <c r="G102" s="3">
        <v>205</v>
      </c>
      <c r="H102" s="3">
        <v>5</v>
      </c>
      <c r="I102" s="3">
        <v>2</v>
      </c>
      <c r="J102" s="3">
        <v>2</v>
      </c>
      <c r="K102" s="3">
        <v>3</v>
      </c>
      <c r="L102" s="2" t="s">
        <v>100</v>
      </c>
      <c r="M102" s="2" t="s">
        <v>53</v>
      </c>
      <c r="N102" s="2">
        <v>13.36</v>
      </c>
      <c r="O102" s="2">
        <v>13</v>
      </c>
      <c r="P102" s="2">
        <v>44.7</v>
      </c>
      <c r="Q102" s="9">
        <f t="shared" si="6"/>
        <v>13.208181818181817</v>
      </c>
      <c r="R102" s="7">
        <f t="shared" si="7"/>
        <v>1037.7278699228423</v>
      </c>
      <c r="S102" s="10">
        <f t="shared" si="8"/>
        <v>925.71620867336514</v>
      </c>
      <c r="T102" s="7">
        <v>71.400000000000006</v>
      </c>
      <c r="U102" s="7">
        <v>59.3</v>
      </c>
    </row>
    <row r="103" spans="1:21" x14ac:dyDescent="0.25">
      <c r="A103" s="4">
        <v>2023</v>
      </c>
      <c r="B103" s="3" t="s">
        <v>117</v>
      </c>
      <c r="C103" s="3" t="s">
        <v>118</v>
      </c>
      <c r="D103" s="3" t="s">
        <v>119</v>
      </c>
      <c r="E103" s="3" t="s">
        <v>120</v>
      </c>
      <c r="F103" s="3" t="s">
        <v>142</v>
      </c>
      <c r="G103" s="3">
        <v>206</v>
      </c>
      <c r="H103" s="3">
        <v>6</v>
      </c>
      <c r="I103" s="3">
        <v>2</v>
      </c>
      <c r="J103" s="3">
        <v>2</v>
      </c>
      <c r="K103" s="3">
        <v>1</v>
      </c>
      <c r="L103" s="2" t="s">
        <v>100</v>
      </c>
      <c r="M103" s="2" t="s">
        <v>658</v>
      </c>
      <c r="N103" s="2">
        <v>13.22</v>
      </c>
      <c r="O103" s="2">
        <v>12.8</v>
      </c>
      <c r="P103" s="2">
        <v>45</v>
      </c>
      <c r="Q103" s="9">
        <f t="shared" si="6"/>
        <v>13.099818181818183</v>
      </c>
      <c r="R103" s="7">
        <f t="shared" si="7"/>
        <v>1029.2140587799693</v>
      </c>
      <c r="S103" s="10">
        <f t="shared" si="8"/>
        <v>918.12137268507513</v>
      </c>
      <c r="T103" s="7">
        <v>71</v>
      </c>
      <c r="U103" s="7">
        <v>58.2</v>
      </c>
    </row>
    <row r="104" spans="1:21" x14ac:dyDescent="0.25">
      <c r="A104" s="4">
        <v>2023</v>
      </c>
      <c r="B104" s="3" t="s">
        <v>117</v>
      </c>
      <c r="C104" s="3" t="s">
        <v>118</v>
      </c>
      <c r="D104" s="3" t="s">
        <v>119</v>
      </c>
      <c r="E104" s="3" t="s">
        <v>120</v>
      </c>
      <c r="F104" s="3" t="s">
        <v>143</v>
      </c>
      <c r="G104" s="3">
        <v>207</v>
      </c>
      <c r="H104" s="3">
        <v>7</v>
      </c>
      <c r="I104" s="3">
        <v>2</v>
      </c>
      <c r="J104" s="3">
        <v>2</v>
      </c>
      <c r="K104" s="3">
        <v>10</v>
      </c>
      <c r="L104" s="2" t="s">
        <v>27</v>
      </c>
      <c r="M104" s="2" t="s">
        <v>658</v>
      </c>
      <c r="N104" s="2">
        <v>12.54</v>
      </c>
      <c r="O104" s="2">
        <v>15.8</v>
      </c>
      <c r="P104" s="2">
        <v>46.6</v>
      </c>
      <c r="Q104" s="9">
        <f t="shared" si="6"/>
        <v>11.998499999999998</v>
      </c>
      <c r="R104" s="7">
        <f t="shared" si="7"/>
        <v>942.68673907331151</v>
      </c>
      <c r="S104" s="10">
        <f t="shared" si="8"/>
        <v>840.93375474871675</v>
      </c>
      <c r="T104" s="7">
        <v>73.599999999999994</v>
      </c>
      <c r="U104" s="7">
        <v>67.400000000000006</v>
      </c>
    </row>
    <row r="105" spans="1:21" x14ac:dyDescent="0.25">
      <c r="A105" s="4">
        <v>2023</v>
      </c>
      <c r="B105" s="3" t="s">
        <v>117</v>
      </c>
      <c r="C105" s="3" t="s">
        <v>118</v>
      </c>
      <c r="D105" s="3" t="s">
        <v>119</v>
      </c>
      <c r="E105" s="3" t="s">
        <v>120</v>
      </c>
      <c r="F105" s="3" t="s">
        <v>144</v>
      </c>
      <c r="G105" s="3">
        <v>208</v>
      </c>
      <c r="H105" s="3">
        <v>8</v>
      </c>
      <c r="I105" s="3">
        <v>2</v>
      </c>
      <c r="J105" s="3">
        <v>2</v>
      </c>
      <c r="K105" s="3">
        <v>19</v>
      </c>
      <c r="L105" s="2" t="s">
        <v>113</v>
      </c>
      <c r="M105" s="2" t="s">
        <v>658</v>
      </c>
      <c r="N105" s="2">
        <v>10.59</v>
      </c>
      <c r="O105" s="2">
        <v>15.4</v>
      </c>
      <c r="P105" s="2">
        <v>46.5</v>
      </c>
      <c r="Q105" s="9">
        <f t="shared" si="6"/>
        <v>10.180840909090909</v>
      </c>
      <c r="R105" s="7">
        <f t="shared" si="7"/>
        <v>799.87862796308525</v>
      </c>
      <c r="S105" s="10">
        <f t="shared" si="8"/>
        <v>713.54025688053991</v>
      </c>
      <c r="T105" s="7">
        <v>67.599999999999994</v>
      </c>
      <c r="U105" s="7">
        <v>59.9</v>
      </c>
    </row>
    <row r="106" spans="1:21" x14ac:dyDescent="0.25">
      <c r="A106" s="4">
        <v>2023</v>
      </c>
      <c r="B106" s="3" t="s">
        <v>117</v>
      </c>
      <c r="C106" s="3" t="s">
        <v>118</v>
      </c>
      <c r="D106" s="3" t="s">
        <v>119</v>
      </c>
      <c r="E106" s="3" t="s">
        <v>120</v>
      </c>
      <c r="F106" s="3" t="s">
        <v>145</v>
      </c>
      <c r="G106" s="3">
        <v>209</v>
      </c>
      <c r="H106" s="3">
        <v>9</v>
      </c>
      <c r="I106" s="3">
        <v>2</v>
      </c>
      <c r="J106" s="3">
        <v>3</v>
      </c>
      <c r="K106" s="3">
        <v>3</v>
      </c>
      <c r="L106" s="2" t="s">
        <v>100</v>
      </c>
      <c r="M106" s="2" t="s">
        <v>53</v>
      </c>
      <c r="N106" s="2">
        <v>13.6</v>
      </c>
      <c r="O106" s="2">
        <v>13.2</v>
      </c>
      <c r="P106" s="2">
        <v>44.8</v>
      </c>
      <c r="Q106" s="9">
        <f t="shared" si="6"/>
        <v>13.414545454545454</v>
      </c>
      <c r="R106" s="7">
        <f t="shared" si="7"/>
        <v>1053.9412518811657</v>
      </c>
      <c r="S106" s="10">
        <f t="shared" si="8"/>
        <v>940.17952888596403</v>
      </c>
      <c r="T106" s="7">
        <v>70.900000000000006</v>
      </c>
      <c r="U106" s="7">
        <v>58.4</v>
      </c>
    </row>
    <row r="107" spans="1:21" x14ac:dyDescent="0.25">
      <c r="A107" s="4">
        <v>2023</v>
      </c>
      <c r="B107" s="3" t="s">
        <v>117</v>
      </c>
      <c r="C107" s="3" t="s">
        <v>118</v>
      </c>
      <c r="D107" s="3" t="s">
        <v>119</v>
      </c>
      <c r="E107" s="3" t="s">
        <v>120</v>
      </c>
      <c r="F107" s="3" t="s">
        <v>146</v>
      </c>
      <c r="G107" s="3">
        <v>210</v>
      </c>
      <c r="H107" s="3">
        <v>10</v>
      </c>
      <c r="I107" s="3">
        <v>2</v>
      </c>
      <c r="J107" s="3">
        <v>3</v>
      </c>
      <c r="K107" s="3">
        <v>11</v>
      </c>
      <c r="L107" s="2" t="s">
        <v>27</v>
      </c>
      <c r="M107" s="2" t="s">
        <v>30</v>
      </c>
      <c r="N107" s="2">
        <v>12.09</v>
      </c>
      <c r="O107" s="2">
        <v>16.2</v>
      </c>
      <c r="P107" s="2">
        <v>45.8</v>
      </c>
      <c r="Q107" s="9">
        <f t="shared" si="6"/>
        <v>11.512977272727273</v>
      </c>
      <c r="R107" s="7">
        <f t="shared" si="7"/>
        <v>904.540651102423</v>
      </c>
      <c r="S107" s="10">
        <f t="shared" si="8"/>
        <v>806.90513033222396</v>
      </c>
      <c r="T107" s="7">
        <v>73.7</v>
      </c>
      <c r="U107" s="7">
        <v>67.8</v>
      </c>
    </row>
    <row r="108" spans="1:21" x14ac:dyDescent="0.25">
      <c r="A108" s="4">
        <v>2023</v>
      </c>
      <c r="B108" s="3" t="s">
        <v>117</v>
      </c>
      <c r="C108" s="3" t="s">
        <v>118</v>
      </c>
      <c r="D108" s="3" t="s">
        <v>119</v>
      </c>
      <c r="E108" s="3" t="s">
        <v>120</v>
      </c>
      <c r="F108" s="3" t="s">
        <v>147</v>
      </c>
      <c r="G108" s="3">
        <v>211</v>
      </c>
      <c r="H108" s="3">
        <v>11</v>
      </c>
      <c r="I108" s="3">
        <v>2</v>
      </c>
      <c r="J108" s="3">
        <v>3</v>
      </c>
      <c r="K108" s="3">
        <v>8</v>
      </c>
      <c r="L108" s="2" t="s">
        <v>69</v>
      </c>
      <c r="M108" s="2" t="s">
        <v>30</v>
      </c>
      <c r="N108" s="2">
        <v>13.94</v>
      </c>
      <c r="O108" s="2">
        <v>12</v>
      </c>
      <c r="P108" s="2">
        <v>45.2</v>
      </c>
      <c r="Q108" s="9">
        <f t="shared" si="6"/>
        <v>13.94</v>
      </c>
      <c r="R108" s="7">
        <f t="shared" si="7"/>
        <v>1095.2246649732854</v>
      </c>
      <c r="S108" s="10">
        <f t="shared" si="8"/>
        <v>977.00683762112874</v>
      </c>
      <c r="T108" s="7">
        <v>70.7</v>
      </c>
      <c r="U108" s="7">
        <v>59.2</v>
      </c>
    </row>
    <row r="109" spans="1:21" x14ac:dyDescent="0.25">
      <c r="A109" s="4">
        <v>2023</v>
      </c>
      <c r="B109" s="3" t="s">
        <v>117</v>
      </c>
      <c r="C109" s="3" t="s">
        <v>118</v>
      </c>
      <c r="D109" s="3" t="s">
        <v>119</v>
      </c>
      <c r="E109" s="3" t="s">
        <v>120</v>
      </c>
      <c r="F109" s="3" t="s">
        <v>148</v>
      </c>
      <c r="G109" s="3">
        <v>212</v>
      </c>
      <c r="H109" s="3">
        <v>12</v>
      </c>
      <c r="I109" s="3">
        <v>2</v>
      </c>
      <c r="J109" s="3">
        <v>3</v>
      </c>
      <c r="K109" s="3">
        <v>18</v>
      </c>
      <c r="L109" s="2" t="s">
        <v>42</v>
      </c>
      <c r="M109" s="2" t="s">
        <v>53</v>
      </c>
      <c r="N109" s="2">
        <v>11.08</v>
      </c>
      <c r="O109" s="2">
        <v>13.7</v>
      </c>
      <c r="P109" s="2">
        <v>45.2</v>
      </c>
      <c r="Q109" s="9">
        <f t="shared" si="6"/>
        <v>10.865954545454546</v>
      </c>
      <c r="R109" s="7">
        <f t="shared" si="7"/>
        <v>853.7059846958681</v>
      </c>
      <c r="S109" s="10">
        <f t="shared" si="8"/>
        <v>761.55752426036406</v>
      </c>
      <c r="T109" s="7">
        <v>71.7</v>
      </c>
      <c r="U109" s="7">
        <v>67.8</v>
      </c>
    </row>
    <row r="110" spans="1:21" x14ac:dyDescent="0.25">
      <c r="A110" s="4">
        <v>2023</v>
      </c>
      <c r="B110" s="3" t="s">
        <v>117</v>
      </c>
      <c r="C110" s="3" t="s">
        <v>118</v>
      </c>
      <c r="D110" s="3" t="s">
        <v>119</v>
      </c>
      <c r="E110" s="3" t="s">
        <v>120</v>
      </c>
      <c r="F110" s="3" t="s">
        <v>149</v>
      </c>
      <c r="G110" s="3">
        <v>213</v>
      </c>
      <c r="H110" s="3">
        <v>13</v>
      </c>
      <c r="I110" s="3">
        <v>2</v>
      </c>
      <c r="J110" s="3">
        <v>4</v>
      </c>
      <c r="K110" s="3">
        <v>12</v>
      </c>
      <c r="L110" s="2" t="s">
        <v>27</v>
      </c>
      <c r="M110" s="2" t="s">
        <v>53</v>
      </c>
      <c r="N110" s="2">
        <v>12.6</v>
      </c>
      <c r="O110" s="2">
        <v>15.3</v>
      </c>
      <c r="P110" s="2">
        <v>47.3</v>
      </c>
      <c r="Q110" s="9">
        <f t="shared" si="6"/>
        <v>12.1275</v>
      </c>
      <c r="R110" s="7">
        <f t="shared" si="7"/>
        <v>952.82188841201719</v>
      </c>
      <c r="S110" s="10">
        <f t="shared" si="8"/>
        <v>849.97492275826687</v>
      </c>
      <c r="T110" s="7">
        <v>74.400000000000006</v>
      </c>
      <c r="U110" s="7">
        <v>69.2</v>
      </c>
    </row>
    <row r="111" spans="1:21" x14ac:dyDescent="0.25">
      <c r="A111" s="4">
        <v>2023</v>
      </c>
      <c r="B111" s="3" t="s">
        <v>117</v>
      </c>
      <c r="C111" s="3" t="s">
        <v>118</v>
      </c>
      <c r="D111" s="3" t="s">
        <v>119</v>
      </c>
      <c r="E111" s="3" t="s">
        <v>120</v>
      </c>
      <c r="F111" s="3" t="s">
        <v>150</v>
      </c>
      <c r="G111" s="3">
        <v>214</v>
      </c>
      <c r="H111" s="3">
        <v>14</v>
      </c>
      <c r="I111" s="3">
        <v>2</v>
      </c>
      <c r="J111" s="3">
        <v>4</v>
      </c>
      <c r="K111" s="3">
        <v>18</v>
      </c>
      <c r="L111" s="2" t="s">
        <v>42</v>
      </c>
      <c r="M111" s="2" t="s">
        <v>53</v>
      </c>
      <c r="N111" s="2">
        <v>11.57</v>
      </c>
      <c r="O111" s="2">
        <v>13.2</v>
      </c>
      <c r="P111" s="2">
        <v>45.1</v>
      </c>
      <c r="Q111" s="9">
        <f t="shared" si="6"/>
        <v>11.412227272727272</v>
      </c>
      <c r="R111" s="7">
        <f t="shared" si="7"/>
        <v>896.62502090184478</v>
      </c>
      <c r="S111" s="10">
        <f t="shared" si="8"/>
        <v>799.84390803019164</v>
      </c>
      <c r="T111" s="7">
        <v>72.099999999999994</v>
      </c>
      <c r="U111" s="7">
        <v>68.599999999999994</v>
      </c>
    </row>
    <row r="112" spans="1:21" x14ac:dyDescent="0.25">
      <c r="A112" s="4">
        <v>2023</v>
      </c>
      <c r="B112" s="3" t="s">
        <v>117</v>
      </c>
      <c r="C112" s="3" t="s">
        <v>118</v>
      </c>
      <c r="D112" s="3" t="s">
        <v>119</v>
      </c>
      <c r="E112" s="3" t="s">
        <v>120</v>
      </c>
      <c r="F112" s="3" t="s">
        <v>151</v>
      </c>
      <c r="G112" s="3">
        <v>215</v>
      </c>
      <c r="H112" s="3">
        <v>15</v>
      </c>
      <c r="I112" s="3">
        <v>2</v>
      </c>
      <c r="J112" s="3">
        <v>4</v>
      </c>
      <c r="K112" s="3">
        <v>11</v>
      </c>
      <c r="L112" s="2" t="s">
        <v>27</v>
      </c>
      <c r="M112" s="2" t="s">
        <v>30</v>
      </c>
      <c r="N112" s="2">
        <v>12.73</v>
      </c>
      <c r="O112" s="2">
        <v>15.7</v>
      </c>
      <c r="P112" s="2">
        <v>47.1</v>
      </c>
      <c r="Q112" s="9">
        <f t="shared" si="6"/>
        <v>12.194761363636363</v>
      </c>
      <c r="R112" s="7">
        <f t="shared" si="7"/>
        <v>958.10641527387372</v>
      </c>
      <c r="S112" s="10">
        <f t="shared" si="8"/>
        <v>854.6890412791023</v>
      </c>
      <c r="T112" s="7">
        <v>74.5</v>
      </c>
      <c r="U112" s="7">
        <v>69.599999999999994</v>
      </c>
    </row>
    <row r="113" spans="1:21" x14ac:dyDescent="0.25">
      <c r="A113" s="4">
        <v>2023</v>
      </c>
      <c r="B113" s="3" t="s">
        <v>117</v>
      </c>
      <c r="C113" s="3" t="s">
        <v>118</v>
      </c>
      <c r="D113" s="3" t="s">
        <v>119</v>
      </c>
      <c r="E113" s="3" t="s">
        <v>120</v>
      </c>
      <c r="F113" s="3" t="s">
        <v>152</v>
      </c>
      <c r="G113" s="3">
        <v>216</v>
      </c>
      <c r="H113" s="3">
        <v>16</v>
      </c>
      <c r="I113" s="3">
        <v>2</v>
      </c>
      <c r="J113" s="3">
        <v>4</v>
      </c>
      <c r="K113" s="3">
        <v>19</v>
      </c>
      <c r="L113" s="2" t="s">
        <v>113</v>
      </c>
      <c r="M113" s="2" t="s">
        <v>658</v>
      </c>
      <c r="N113" s="2">
        <v>12.37</v>
      </c>
      <c r="O113" s="2">
        <v>14</v>
      </c>
      <c r="P113" s="2">
        <v>46.4</v>
      </c>
      <c r="Q113" s="9">
        <f t="shared" si="6"/>
        <v>12.088863636363635</v>
      </c>
      <c r="R113" s="7">
        <f t="shared" si="7"/>
        <v>949.78634333171408</v>
      </c>
      <c r="S113" s="10">
        <f t="shared" si="8"/>
        <v>847.26703241009284</v>
      </c>
      <c r="T113" s="7">
        <v>67.7</v>
      </c>
      <c r="U113" s="7">
        <v>59.9</v>
      </c>
    </row>
    <row r="114" spans="1:21" x14ac:dyDescent="0.25">
      <c r="A114" s="4">
        <v>2023</v>
      </c>
      <c r="B114" s="3" t="s">
        <v>117</v>
      </c>
      <c r="C114" s="3" t="s">
        <v>118</v>
      </c>
      <c r="D114" s="3" t="s">
        <v>119</v>
      </c>
      <c r="E114" s="3" t="s">
        <v>120</v>
      </c>
      <c r="F114" s="3" t="s">
        <v>153</v>
      </c>
      <c r="G114" s="3">
        <v>301</v>
      </c>
      <c r="H114" s="3">
        <v>1</v>
      </c>
      <c r="I114" s="3">
        <v>3</v>
      </c>
      <c r="J114" s="3">
        <v>1</v>
      </c>
      <c r="K114" s="3">
        <v>1</v>
      </c>
      <c r="L114" s="2" t="s">
        <v>100</v>
      </c>
      <c r="M114" s="2" t="s">
        <v>658</v>
      </c>
      <c r="N114" s="2">
        <v>12.35</v>
      </c>
      <c r="O114" s="2">
        <v>13.8</v>
      </c>
      <c r="P114" s="2">
        <v>45.1</v>
      </c>
      <c r="Q114" s="9">
        <f t="shared" ref="Q114:Q145" si="9">N114*(1-O114/100)/(1-0.12)</f>
        <v>12.097386363636364</v>
      </c>
      <c r="R114" s="7">
        <f t="shared" ref="R114:R145" si="10">((10000*Q114*12%/2.205))/((4.66*16)/10.764)</f>
        <v>950.45594886413392</v>
      </c>
      <c r="S114" s="10">
        <f t="shared" ref="S114:S145" si="11">R114/1.121</f>
        <v>847.86436116336654</v>
      </c>
      <c r="T114" s="7">
        <v>71.3</v>
      </c>
      <c r="U114" s="7">
        <v>58.4</v>
      </c>
    </row>
    <row r="115" spans="1:21" x14ac:dyDescent="0.25">
      <c r="A115" s="4">
        <v>2023</v>
      </c>
      <c r="B115" s="3" t="s">
        <v>117</v>
      </c>
      <c r="C115" s="3" t="s">
        <v>118</v>
      </c>
      <c r="D115" s="3" t="s">
        <v>119</v>
      </c>
      <c r="E115" s="3" t="s">
        <v>120</v>
      </c>
      <c r="F115" s="3" t="s">
        <v>154</v>
      </c>
      <c r="G115" s="3">
        <v>302</v>
      </c>
      <c r="H115" s="3">
        <v>2</v>
      </c>
      <c r="I115" s="3">
        <v>3</v>
      </c>
      <c r="J115" s="3">
        <v>1</v>
      </c>
      <c r="K115" s="3">
        <v>10</v>
      </c>
      <c r="L115" s="2" t="s">
        <v>27</v>
      </c>
      <c r="M115" s="2" t="s">
        <v>658</v>
      </c>
      <c r="N115" s="2">
        <v>11.16</v>
      </c>
      <c r="O115" s="2">
        <v>17.100000000000001</v>
      </c>
      <c r="P115" s="2">
        <v>47.8</v>
      </c>
      <c r="Q115" s="9">
        <f t="shared" si="9"/>
        <v>10.513227272727272</v>
      </c>
      <c r="R115" s="7">
        <f t="shared" si="10"/>
        <v>825.99324372745582</v>
      </c>
      <c r="S115" s="10">
        <f t="shared" si="11"/>
        <v>736.83607825821218</v>
      </c>
      <c r="T115" s="7">
        <v>74</v>
      </c>
      <c r="U115" s="7">
        <v>69.2</v>
      </c>
    </row>
    <row r="116" spans="1:21" x14ac:dyDescent="0.25">
      <c r="A116" s="4">
        <v>2023</v>
      </c>
      <c r="B116" s="3" t="s">
        <v>117</v>
      </c>
      <c r="C116" s="3" t="s">
        <v>118</v>
      </c>
      <c r="D116" s="3" t="s">
        <v>119</v>
      </c>
      <c r="E116" s="3" t="s">
        <v>120</v>
      </c>
      <c r="F116" s="3" t="s">
        <v>155</v>
      </c>
      <c r="G116" s="3">
        <v>303</v>
      </c>
      <c r="H116" s="3">
        <v>3</v>
      </c>
      <c r="I116" s="3">
        <v>3</v>
      </c>
      <c r="J116" s="3">
        <v>1</v>
      </c>
      <c r="K116" s="3">
        <v>18</v>
      </c>
      <c r="L116" s="2" t="s">
        <v>42</v>
      </c>
      <c r="M116" s="2" t="s">
        <v>53</v>
      </c>
      <c r="N116" s="2">
        <v>10.119999999999999</v>
      </c>
      <c r="O116" s="2">
        <v>14.7</v>
      </c>
      <c r="P116" s="2">
        <v>44.7</v>
      </c>
      <c r="Q116" s="9">
        <f t="shared" si="9"/>
        <v>9.8094999999999981</v>
      </c>
      <c r="R116" s="7">
        <f t="shared" si="10"/>
        <v>770.70346851186798</v>
      </c>
      <c r="S116" s="10">
        <f t="shared" si="11"/>
        <v>687.51424488123814</v>
      </c>
      <c r="T116" s="7">
        <v>71.599999999999994</v>
      </c>
      <c r="U116" s="7">
        <v>67.7</v>
      </c>
    </row>
    <row r="117" spans="1:21" x14ac:dyDescent="0.25">
      <c r="A117" s="4">
        <v>2023</v>
      </c>
      <c r="B117" s="3" t="s">
        <v>117</v>
      </c>
      <c r="C117" s="3" t="s">
        <v>118</v>
      </c>
      <c r="D117" s="3" t="s">
        <v>119</v>
      </c>
      <c r="E117" s="3" t="s">
        <v>120</v>
      </c>
      <c r="F117" s="3" t="s">
        <v>156</v>
      </c>
      <c r="G117" s="3">
        <v>304</v>
      </c>
      <c r="H117" s="3">
        <v>4</v>
      </c>
      <c r="I117" s="3">
        <v>3</v>
      </c>
      <c r="J117" s="3">
        <v>1</v>
      </c>
      <c r="K117" s="3">
        <v>4</v>
      </c>
      <c r="L117" s="2" t="s">
        <v>56</v>
      </c>
      <c r="M117" s="2" t="s">
        <v>658</v>
      </c>
      <c r="N117" s="2">
        <v>9.67</v>
      </c>
      <c r="O117" s="2">
        <v>12.6</v>
      </c>
      <c r="P117" s="2">
        <v>44.5</v>
      </c>
      <c r="Q117" s="9">
        <f t="shared" si="9"/>
        <v>9.6040681818181817</v>
      </c>
      <c r="R117" s="7">
        <f t="shared" si="10"/>
        <v>754.56329675842244</v>
      </c>
      <c r="S117" s="10">
        <f t="shared" si="11"/>
        <v>673.11623261233046</v>
      </c>
      <c r="T117" s="7">
        <v>71.099999999999994</v>
      </c>
      <c r="U117" s="7">
        <v>61.9</v>
      </c>
    </row>
    <row r="118" spans="1:21" x14ac:dyDescent="0.25">
      <c r="A118" s="4">
        <v>2023</v>
      </c>
      <c r="B118" s="3" t="s">
        <v>117</v>
      </c>
      <c r="C118" s="3" t="s">
        <v>118</v>
      </c>
      <c r="D118" s="3" t="s">
        <v>119</v>
      </c>
      <c r="E118" s="3" t="s">
        <v>120</v>
      </c>
      <c r="F118" s="3" t="s">
        <v>157</v>
      </c>
      <c r="G118" s="3">
        <v>305</v>
      </c>
      <c r="H118" s="3">
        <v>5</v>
      </c>
      <c r="I118" s="3">
        <v>3</v>
      </c>
      <c r="J118" s="3">
        <v>2</v>
      </c>
      <c r="K118" s="3">
        <v>20</v>
      </c>
      <c r="L118" s="2" t="s">
        <v>82</v>
      </c>
      <c r="M118" s="2" t="s">
        <v>658</v>
      </c>
      <c r="N118" s="2">
        <v>14.21</v>
      </c>
      <c r="O118" s="2">
        <v>16.100000000000001</v>
      </c>
      <c r="P118" s="2">
        <v>46</v>
      </c>
      <c r="Q118" s="9">
        <f t="shared" si="9"/>
        <v>13.547943181818182</v>
      </c>
      <c r="R118" s="7">
        <f t="shared" si="10"/>
        <v>1064.4219176746001</v>
      </c>
      <c r="S118" s="10">
        <f t="shared" si="11"/>
        <v>949.52891853220342</v>
      </c>
      <c r="T118" s="7">
        <v>72.7</v>
      </c>
      <c r="U118" s="7">
        <v>66.3</v>
      </c>
    </row>
    <row r="119" spans="1:21" x14ac:dyDescent="0.25">
      <c r="A119" s="4">
        <v>2023</v>
      </c>
      <c r="B119" s="3" t="s">
        <v>117</v>
      </c>
      <c r="C119" s="3" t="s">
        <v>118</v>
      </c>
      <c r="D119" s="3" t="s">
        <v>119</v>
      </c>
      <c r="E119" s="3" t="s">
        <v>120</v>
      </c>
      <c r="F119" s="3" t="s">
        <v>158</v>
      </c>
      <c r="G119" s="3">
        <v>306</v>
      </c>
      <c r="H119" s="3">
        <v>6</v>
      </c>
      <c r="I119" s="3">
        <v>3</v>
      </c>
      <c r="J119" s="3">
        <v>2</v>
      </c>
      <c r="K119" s="3">
        <v>9</v>
      </c>
      <c r="L119" s="2" t="s">
        <v>69</v>
      </c>
      <c r="M119" s="2" t="s">
        <v>53</v>
      </c>
      <c r="N119" s="2">
        <v>13.63</v>
      </c>
      <c r="O119" s="2">
        <v>13.3</v>
      </c>
      <c r="P119" s="2">
        <v>46.1</v>
      </c>
      <c r="Q119" s="9">
        <f t="shared" si="9"/>
        <v>13.428647727272729</v>
      </c>
      <c r="R119" s="7">
        <f t="shared" si="10"/>
        <v>1055.0492258354768</v>
      </c>
      <c r="S119" s="10">
        <f t="shared" si="11"/>
        <v>941.16790886304796</v>
      </c>
      <c r="T119" s="7">
        <v>70.5</v>
      </c>
      <c r="U119" s="7">
        <v>61.1</v>
      </c>
    </row>
    <row r="120" spans="1:21" x14ac:dyDescent="0.25">
      <c r="A120" s="4">
        <v>2023</v>
      </c>
      <c r="B120" s="3" t="s">
        <v>117</v>
      </c>
      <c r="C120" s="3" t="s">
        <v>118</v>
      </c>
      <c r="D120" s="3" t="s">
        <v>119</v>
      </c>
      <c r="E120" s="3" t="s">
        <v>120</v>
      </c>
      <c r="F120" s="3" t="s">
        <v>159</v>
      </c>
      <c r="G120" s="3">
        <v>307</v>
      </c>
      <c r="H120" s="3">
        <v>7</v>
      </c>
      <c r="I120" s="3">
        <v>3</v>
      </c>
      <c r="J120" s="3">
        <v>2</v>
      </c>
      <c r="K120" s="3">
        <v>14</v>
      </c>
      <c r="L120" s="2" t="s">
        <v>87</v>
      </c>
      <c r="M120" s="2" t="s">
        <v>30</v>
      </c>
      <c r="N120" s="2">
        <v>10.220000000000001</v>
      </c>
      <c r="O120" s="2">
        <v>10.5</v>
      </c>
      <c r="P120" s="2">
        <v>40.1</v>
      </c>
      <c r="Q120" s="9">
        <f t="shared" si="9"/>
        <v>10.394204545454546</v>
      </c>
      <c r="R120" s="7">
        <f t="shared" si="10"/>
        <v>816.64197926536974</v>
      </c>
      <c r="S120" s="10">
        <f t="shared" si="11"/>
        <v>728.49418310916121</v>
      </c>
      <c r="T120" s="7">
        <v>69.8</v>
      </c>
      <c r="U120" s="7">
        <v>59.2</v>
      </c>
    </row>
    <row r="121" spans="1:21" x14ac:dyDescent="0.25">
      <c r="A121" s="4">
        <v>2023</v>
      </c>
      <c r="B121" s="3" t="s">
        <v>117</v>
      </c>
      <c r="C121" s="3" t="s">
        <v>118</v>
      </c>
      <c r="D121" s="3" t="s">
        <v>119</v>
      </c>
      <c r="E121" s="3" t="s">
        <v>120</v>
      </c>
      <c r="F121" s="3" t="s">
        <v>160</v>
      </c>
      <c r="G121" s="3">
        <v>308</v>
      </c>
      <c r="H121" s="3">
        <v>8</v>
      </c>
      <c r="I121" s="3">
        <v>3</v>
      </c>
      <c r="J121" s="3">
        <v>2</v>
      </c>
      <c r="K121" s="3">
        <v>8</v>
      </c>
      <c r="L121" s="2" t="s">
        <v>69</v>
      </c>
      <c r="M121" s="2" t="s">
        <v>30</v>
      </c>
      <c r="N121" s="2">
        <v>13.43</v>
      </c>
      <c r="O121" s="2">
        <v>13</v>
      </c>
      <c r="P121" s="2">
        <v>45.8</v>
      </c>
      <c r="Q121" s="9">
        <f t="shared" si="9"/>
        <v>13.277386363636362</v>
      </c>
      <c r="R121" s="7">
        <f t="shared" si="10"/>
        <v>1043.1650668460907</v>
      </c>
      <c r="S121" s="10">
        <f t="shared" si="11"/>
        <v>930.56651814994711</v>
      </c>
      <c r="T121" s="7">
        <v>69.599999999999994</v>
      </c>
      <c r="U121" s="7">
        <v>59.8</v>
      </c>
    </row>
    <row r="122" spans="1:21" x14ac:dyDescent="0.25">
      <c r="A122" s="4">
        <v>2023</v>
      </c>
      <c r="B122" s="3" t="s">
        <v>117</v>
      </c>
      <c r="C122" s="3" t="s">
        <v>118</v>
      </c>
      <c r="D122" s="3" t="s">
        <v>119</v>
      </c>
      <c r="E122" s="3" t="s">
        <v>120</v>
      </c>
      <c r="F122" s="3" t="s">
        <v>161</v>
      </c>
      <c r="G122" s="3">
        <v>309</v>
      </c>
      <c r="H122" s="3">
        <v>9</v>
      </c>
      <c r="I122" s="3">
        <v>3</v>
      </c>
      <c r="J122" s="3">
        <v>3</v>
      </c>
      <c r="K122" s="3">
        <v>15</v>
      </c>
      <c r="L122" s="2" t="s">
        <v>87</v>
      </c>
      <c r="M122" s="2" t="s">
        <v>53</v>
      </c>
      <c r="N122" s="2">
        <v>10.210000000000001</v>
      </c>
      <c r="O122" s="2">
        <v>10.7</v>
      </c>
      <c r="P122" s="2">
        <v>41.3</v>
      </c>
      <c r="Q122" s="9">
        <f t="shared" si="9"/>
        <v>10.360829545454546</v>
      </c>
      <c r="R122" s="7">
        <f t="shared" si="10"/>
        <v>814.01980400041407</v>
      </c>
      <c r="S122" s="10">
        <f t="shared" si="11"/>
        <v>726.1550437113417</v>
      </c>
      <c r="T122" s="7">
        <v>69.7</v>
      </c>
      <c r="U122" s="7">
        <v>60.2</v>
      </c>
    </row>
    <row r="123" spans="1:21" x14ac:dyDescent="0.25">
      <c r="A123" s="4">
        <v>2023</v>
      </c>
      <c r="B123" s="3" t="s">
        <v>117</v>
      </c>
      <c r="C123" s="3" t="s">
        <v>118</v>
      </c>
      <c r="D123" s="3" t="s">
        <v>119</v>
      </c>
      <c r="E123" s="3" t="s">
        <v>120</v>
      </c>
      <c r="F123" s="3" t="s">
        <v>162</v>
      </c>
      <c r="G123" s="3">
        <v>310</v>
      </c>
      <c r="H123" s="3">
        <v>10</v>
      </c>
      <c r="I123" s="3">
        <v>3</v>
      </c>
      <c r="J123" s="3">
        <v>3</v>
      </c>
      <c r="K123" s="3">
        <v>20</v>
      </c>
      <c r="L123" s="2" t="s">
        <v>82</v>
      </c>
      <c r="M123" s="2" t="s">
        <v>658</v>
      </c>
      <c r="N123" s="2">
        <v>13.8</v>
      </c>
      <c r="O123" s="2">
        <v>15.4</v>
      </c>
      <c r="P123" s="2">
        <v>45.5</v>
      </c>
      <c r="Q123" s="9">
        <f t="shared" si="9"/>
        <v>13.266818181818181</v>
      </c>
      <c r="R123" s="7">
        <f t="shared" si="10"/>
        <v>1042.3347559858898</v>
      </c>
      <c r="S123" s="10">
        <f t="shared" si="11"/>
        <v>929.82583049588743</v>
      </c>
      <c r="T123" s="7">
        <v>72.7</v>
      </c>
      <c r="U123" s="7">
        <v>66.8</v>
      </c>
    </row>
    <row r="124" spans="1:21" x14ac:dyDescent="0.25">
      <c r="A124" s="4">
        <v>2023</v>
      </c>
      <c r="B124" s="3" t="s">
        <v>117</v>
      </c>
      <c r="C124" s="3" t="s">
        <v>118</v>
      </c>
      <c r="D124" s="3" t="s">
        <v>119</v>
      </c>
      <c r="E124" s="3" t="s">
        <v>120</v>
      </c>
      <c r="F124" s="3" t="s">
        <v>163</v>
      </c>
      <c r="G124" s="3">
        <v>311</v>
      </c>
      <c r="H124" s="3">
        <v>11</v>
      </c>
      <c r="I124" s="3">
        <v>3</v>
      </c>
      <c r="J124" s="3">
        <v>3</v>
      </c>
      <c r="K124" s="3">
        <v>5</v>
      </c>
      <c r="L124" s="2" t="s">
        <v>56</v>
      </c>
      <c r="M124" s="2" t="s">
        <v>30</v>
      </c>
      <c r="N124" s="2">
        <v>11.51</v>
      </c>
      <c r="O124" s="2">
        <v>12.3</v>
      </c>
      <c r="P124" s="2">
        <v>45</v>
      </c>
      <c r="Q124" s="9">
        <f t="shared" si="9"/>
        <v>11.470761363636363</v>
      </c>
      <c r="R124" s="7">
        <f t="shared" si="10"/>
        <v>901.22387169850367</v>
      </c>
      <c r="S124" s="10">
        <f t="shared" si="11"/>
        <v>803.94636190767505</v>
      </c>
      <c r="T124" s="7">
        <v>71.599999999999994</v>
      </c>
      <c r="U124" s="7">
        <v>63.9</v>
      </c>
    </row>
    <row r="125" spans="1:21" x14ac:dyDescent="0.25">
      <c r="A125" s="4">
        <v>2023</v>
      </c>
      <c r="B125" s="3" t="s">
        <v>117</v>
      </c>
      <c r="C125" s="3" t="s">
        <v>118</v>
      </c>
      <c r="D125" s="3" t="s">
        <v>119</v>
      </c>
      <c r="E125" s="3" t="s">
        <v>120</v>
      </c>
      <c r="F125" s="3" t="s">
        <v>164</v>
      </c>
      <c r="G125" s="3">
        <v>312</v>
      </c>
      <c r="H125" s="3">
        <v>12</v>
      </c>
      <c r="I125" s="3">
        <v>3</v>
      </c>
      <c r="J125" s="3">
        <v>3</v>
      </c>
      <c r="K125" s="3">
        <v>12</v>
      </c>
      <c r="L125" s="2" t="s">
        <v>27</v>
      </c>
      <c r="M125" s="2" t="s">
        <v>53</v>
      </c>
      <c r="N125" s="2">
        <v>11.37</v>
      </c>
      <c r="O125" s="2">
        <v>16.100000000000001</v>
      </c>
      <c r="P125" s="2">
        <v>46.6</v>
      </c>
      <c r="Q125" s="9">
        <f t="shared" si="9"/>
        <v>10.840261363636364</v>
      </c>
      <c r="R125" s="7">
        <f t="shared" si="10"/>
        <v>851.68734721746659</v>
      </c>
      <c r="S125" s="10">
        <f t="shared" si="11"/>
        <v>759.75677717882832</v>
      </c>
      <c r="T125" s="7">
        <v>73.900000000000006</v>
      </c>
      <c r="U125" s="7">
        <v>68.8</v>
      </c>
    </row>
    <row r="126" spans="1:21" x14ac:dyDescent="0.25">
      <c r="A126" s="4">
        <v>2023</v>
      </c>
      <c r="B126" s="3" t="s">
        <v>117</v>
      </c>
      <c r="C126" s="3" t="s">
        <v>118</v>
      </c>
      <c r="D126" s="3" t="s">
        <v>119</v>
      </c>
      <c r="E126" s="3" t="s">
        <v>120</v>
      </c>
      <c r="F126" s="3" t="s">
        <v>165</v>
      </c>
      <c r="G126" s="3">
        <v>313</v>
      </c>
      <c r="H126" s="3">
        <v>13</v>
      </c>
      <c r="I126" s="3">
        <v>3</v>
      </c>
      <c r="J126" s="3">
        <v>4</v>
      </c>
      <c r="K126" s="3">
        <v>2</v>
      </c>
      <c r="L126" s="2" t="s">
        <v>100</v>
      </c>
      <c r="M126" s="2" t="s">
        <v>30</v>
      </c>
      <c r="N126" s="2">
        <v>12.68</v>
      </c>
      <c r="O126" s="2">
        <v>13</v>
      </c>
      <c r="P126" s="2">
        <v>45</v>
      </c>
      <c r="Q126" s="9">
        <f t="shared" si="9"/>
        <v>12.53590909090909</v>
      </c>
      <c r="R126" s="7">
        <f t="shared" si="10"/>
        <v>984.90938552557168</v>
      </c>
      <c r="S126" s="10">
        <f t="shared" si="11"/>
        <v>878.59891661513973</v>
      </c>
      <c r="T126" s="7">
        <v>71.3</v>
      </c>
      <c r="U126" s="7">
        <v>57.7</v>
      </c>
    </row>
    <row r="127" spans="1:21" x14ac:dyDescent="0.25">
      <c r="A127" s="4">
        <v>2023</v>
      </c>
      <c r="B127" s="3" t="s">
        <v>117</v>
      </c>
      <c r="C127" s="3" t="s">
        <v>118</v>
      </c>
      <c r="D127" s="3" t="s">
        <v>119</v>
      </c>
      <c r="E127" s="3" t="s">
        <v>120</v>
      </c>
      <c r="F127" s="3" t="s">
        <v>166</v>
      </c>
      <c r="G127" s="3">
        <v>314</v>
      </c>
      <c r="H127" s="3">
        <v>14</v>
      </c>
      <c r="I127" s="3">
        <v>3</v>
      </c>
      <c r="J127" s="3">
        <v>4</v>
      </c>
      <c r="K127" s="3">
        <v>10</v>
      </c>
      <c r="L127" s="2" t="s">
        <v>27</v>
      </c>
      <c r="M127" s="2" t="s">
        <v>658</v>
      </c>
      <c r="N127" s="2">
        <v>12.21</v>
      </c>
      <c r="O127" s="2">
        <v>15.8</v>
      </c>
      <c r="P127" s="2">
        <v>46.9</v>
      </c>
      <c r="Q127" s="9">
        <f t="shared" si="9"/>
        <v>11.68275</v>
      </c>
      <c r="R127" s="7">
        <f t="shared" si="10"/>
        <v>917.87919330822444</v>
      </c>
      <c r="S127" s="10">
        <f t="shared" si="11"/>
        <v>818.8039190974348</v>
      </c>
      <c r="T127" s="7">
        <v>73.7</v>
      </c>
      <c r="U127" s="7">
        <v>68.2</v>
      </c>
    </row>
    <row r="128" spans="1:21" x14ac:dyDescent="0.25">
      <c r="A128" s="4">
        <v>2023</v>
      </c>
      <c r="B128" s="3" t="s">
        <v>117</v>
      </c>
      <c r="C128" s="3" t="s">
        <v>118</v>
      </c>
      <c r="D128" s="3" t="s">
        <v>119</v>
      </c>
      <c r="E128" s="3" t="s">
        <v>120</v>
      </c>
      <c r="F128" s="3" t="s">
        <v>167</v>
      </c>
      <c r="G128" s="3">
        <v>315</v>
      </c>
      <c r="H128" s="3">
        <v>15</v>
      </c>
      <c r="I128" s="3">
        <v>3</v>
      </c>
      <c r="J128" s="3">
        <v>4</v>
      </c>
      <c r="K128" s="3">
        <v>20</v>
      </c>
      <c r="L128" s="2" t="s">
        <v>82</v>
      </c>
      <c r="M128" s="2" t="s">
        <v>658</v>
      </c>
      <c r="N128" s="2">
        <v>13.79</v>
      </c>
      <c r="O128" s="2">
        <v>14.8</v>
      </c>
      <c r="P128" s="2">
        <v>45.2</v>
      </c>
      <c r="Q128" s="9">
        <f t="shared" si="9"/>
        <v>13.351227272727272</v>
      </c>
      <c r="R128" s="7">
        <f t="shared" si="10"/>
        <v>1048.9665291789754</v>
      </c>
      <c r="S128" s="10">
        <f t="shared" si="11"/>
        <v>935.74177446830993</v>
      </c>
      <c r="T128" s="7">
        <v>72.599999999999994</v>
      </c>
      <c r="U128" s="7">
        <v>66.3</v>
      </c>
    </row>
    <row r="129" spans="1:21" x14ac:dyDescent="0.25">
      <c r="A129" s="4">
        <v>2023</v>
      </c>
      <c r="B129" s="3" t="s">
        <v>117</v>
      </c>
      <c r="C129" s="3" t="s">
        <v>118</v>
      </c>
      <c r="D129" s="3" t="s">
        <v>119</v>
      </c>
      <c r="E129" s="3" t="s">
        <v>120</v>
      </c>
      <c r="F129" s="3" t="s">
        <v>168</v>
      </c>
      <c r="G129" s="3">
        <v>316</v>
      </c>
      <c r="H129" s="3">
        <v>16</v>
      </c>
      <c r="I129" s="3">
        <v>3</v>
      </c>
      <c r="J129" s="3">
        <v>4</v>
      </c>
      <c r="K129" s="3">
        <v>5</v>
      </c>
      <c r="L129" s="2" t="s">
        <v>56</v>
      </c>
      <c r="M129" s="2" t="s">
        <v>30</v>
      </c>
      <c r="N129" s="2">
        <v>13.07</v>
      </c>
      <c r="O129" s="2">
        <v>11.5</v>
      </c>
      <c r="P129" s="2">
        <v>44.7</v>
      </c>
      <c r="Q129" s="9">
        <f t="shared" si="9"/>
        <v>13.144261363636364</v>
      </c>
      <c r="R129" s="7">
        <f t="shared" si="10"/>
        <v>1032.7058284296943</v>
      </c>
      <c r="S129" s="10">
        <f t="shared" si="11"/>
        <v>921.2362430238129</v>
      </c>
      <c r="T129" s="7">
        <v>71.400000000000006</v>
      </c>
      <c r="U129" s="7">
        <v>64.400000000000006</v>
      </c>
    </row>
    <row r="130" spans="1:21" x14ac:dyDescent="0.25">
      <c r="A130" s="4">
        <v>2023</v>
      </c>
      <c r="B130" s="3" t="s">
        <v>117</v>
      </c>
      <c r="C130" s="3" t="s">
        <v>118</v>
      </c>
      <c r="D130" s="3" t="s">
        <v>119</v>
      </c>
      <c r="E130" s="3" t="s">
        <v>120</v>
      </c>
      <c r="F130" s="3" t="s">
        <v>169</v>
      </c>
      <c r="G130" s="3">
        <v>401</v>
      </c>
      <c r="H130" s="3">
        <v>1</v>
      </c>
      <c r="I130" s="3">
        <v>4</v>
      </c>
      <c r="J130" s="3">
        <v>1</v>
      </c>
      <c r="K130" s="3">
        <v>8</v>
      </c>
      <c r="L130" s="2" t="s">
        <v>69</v>
      </c>
      <c r="M130" s="2" t="s">
        <v>30</v>
      </c>
      <c r="N130" s="2">
        <v>13.59</v>
      </c>
      <c r="O130" s="2">
        <v>13.6</v>
      </c>
      <c r="P130" s="2">
        <v>46</v>
      </c>
      <c r="Q130" s="9">
        <f t="shared" si="9"/>
        <v>13.342909090909091</v>
      </c>
      <c r="R130" s="7">
        <f t="shared" si="10"/>
        <v>1048.3129941793338</v>
      </c>
      <c r="S130" s="10">
        <f t="shared" si="11"/>
        <v>935.15878160511488</v>
      </c>
      <c r="T130" s="7">
        <v>70.7</v>
      </c>
      <c r="U130" s="7">
        <v>60.7</v>
      </c>
    </row>
    <row r="131" spans="1:21" x14ac:dyDescent="0.25">
      <c r="A131" s="4">
        <v>2023</v>
      </c>
      <c r="B131" s="3" t="s">
        <v>117</v>
      </c>
      <c r="C131" s="3" t="s">
        <v>118</v>
      </c>
      <c r="D131" s="3" t="s">
        <v>119</v>
      </c>
      <c r="E131" s="3" t="s">
        <v>120</v>
      </c>
      <c r="F131" s="3" t="s">
        <v>170</v>
      </c>
      <c r="G131" s="3">
        <v>402</v>
      </c>
      <c r="H131" s="3">
        <v>2</v>
      </c>
      <c r="I131" s="3">
        <v>4</v>
      </c>
      <c r="J131" s="3">
        <v>1</v>
      </c>
      <c r="K131" s="3">
        <v>9</v>
      </c>
      <c r="L131" s="2" t="s">
        <v>69</v>
      </c>
      <c r="M131" s="2" t="s">
        <v>53</v>
      </c>
      <c r="N131" s="2">
        <v>13.46</v>
      </c>
      <c r="O131" s="2">
        <v>13.2</v>
      </c>
      <c r="P131" s="2">
        <v>45.6</v>
      </c>
      <c r="Q131" s="9">
        <f t="shared" si="9"/>
        <v>13.276454545454545</v>
      </c>
      <c r="R131" s="7">
        <f t="shared" si="10"/>
        <v>1043.0918566412126</v>
      </c>
      <c r="S131" s="10">
        <f t="shared" si="11"/>
        <v>930.50121020625568</v>
      </c>
      <c r="T131" s="7">
        <v>70.400000000000006</v>
      </c>
      <c r="U131" s="7">
        <v>61.2</v>
      </c>
    </row>
    <row r="132" spans="1:21" x14ac:dyDescent="0.25">
      <c r="A132" s="4">
        <v>2023</v>
      </c>
      <c r="B132" s="3" t="s">
        <v>117</v>
      </c>
      <c r="C132" s="3" t="s">
        <v>118</v>
      </c>
      <c r="D132" s="3" t="s">
        <v>119</v>
      </c>
      <c r="E132" s="3" t="s">
        <v>120</v>
      </c>
      <c r="F132" s="3" t="s">
        <v>171</v>
      </c>
      <c r="G132" s="3">
        <v>403</v>
      </c>
      <c r="H132" s="3">
        <v>3</v>
      </c>
      <c r="I132" s="3">
        <v>4</v>
      </c>
      <c r="J132" s="3">
        <v>1</v>
      </c>
      <c r="K132" s="3">
        <v>11</v>
      </c>
      <c r="L132" s="2" t="s">
        <v>27</v>
      </c>
      <c r="M132" s="2" t="s">
        <v>30</v>
      </c>
      <c r="N132" s="2">
        <v>9.64</v>
      </c>
      <c r="O132" s="2">
        <v>16.3</v>
      </c>
      <c r="P132" s="2">
        <v>47.3</v>
      </c>
      <c r="Q132" s="9">
        <f t="shared" si="9"/>
        <v>9.1689545454545467</v>
      </c>
      <c r="R132" s="7">
        <f t="shared" si="10"/>
        <v>720.3777023099525</v>
      </c>
      <c r="S132" s="10">
        <f t="shared" si="11"/>
        <v>642.62060866186664</v>
      </c>
      <c r="T132" s="7">
        <v>73.900000000000006</v>
      </c>
      <c r="U132" s="7">
        <v>68</v>
      </c>
    </row>
    <row r="133" spans="1:21" x14ac:dyDescent="0.25">
      <c r="A133" s="4">
        <v>2023</v>
      </c>
      <c r="B133" s="3" t="s">
        <v>117</v>
      </c>
      <c r="C133" s="3" t="s">
        <v>118</v>
      </c>
      <c r="D133" s="3" t="s">
        <v>119</v>
      </c>
      <c r="E133" s="3" t="s">
        <v>120</v>
      </c>
      <c r="F133" s="3" t="s">
        <v>172</v>
      </c>
      <c r="G133" s="3">
        <v>404</v>
      </c>
      <c r="H133" s="3">
        <v>4</v>
      </c>
      <c r="I133" s="3">
        <v>4</v>
      </c>
      <c r="J133" s="3">
        <v>1</v>
      </c>
      <c r="K133" s="3">
        <v>15</v>
      </c>
      <c r="L133" s="2" t="s">
        <v>87</v>
      </c>
      <c r="M133" s="2" t="s">
        <v>53</v>
      </c>
      <c r="N133" s="2">
        <v>9.4499999999999993</v>
      </c>
      <c r="O133" s="2">
        <v>11.5</v>
      </c>
      <c r="P133" s="2">
        <v>40.700000000000003</v>
      </c>
      <c r="Q133" s="9">
        <f t="shared" si="9"/>
        <v>9.5036931818181802</v>
      </c>
      <c r="R133" s="7">
        <f t="shared" si="10"/>
        <v>746.67712920127076</v>
      </c>
      <c r="S133" s="10">
        <f t="shared" si="11"/>
        <v>666.08129277544219</v>
      </c>
      <c r="T133" s="7">
        <v>70</v>
      </c>
      <c r="U133" s="7">
        <v>59.5</v>
      </c>
    </row>
    <row r="134" spans="1:21" x14ac:dyDescent="0.25">
      <c r="A134" s="4">
        <v>2023</v>
      </c>
      <c r="B134" s="3" t="s">
        <v>117</v>
      </c>
      <c r="C134" s="3" t="s">
        <v>118</v>
      </c>
      <c r="D134" s="3" t="s">
        <v>119</v>
      </c>
      <c r="E134" s="3" t="s">
        <v>120</v>
      </c>
      <c r="F134" s="3" t="s">
        <v>173</v>
      </c>
      <c r="G134" s="3">
        <v>405</v>
      </c>
      <c r="H134" s="3">
        <v>5</v>
      </c>
      <c r="I134" s="3">
        <v>4</v>
      </c>
      <c r="J134" s="3">
        <v>2</v>
      </c>
      <c r="K134" s="3">
        <v>13</v>
      </c>
      <c r="L134" s="2" t="s">
        <v>87</v>
      </c>
      <c r="M134" s="2" t="s">
        <v>658</v>
      </c>
      <c r="N134" s="2">
        <v>9.58</v>
      </c>
      <c r="O134" s="2">
        <v>11</v>
      </c>
      <c r="P134" s="2">
        <v>38.9</v>
      </c>
      <c r="Q134" s="9">
        <f t="shared" si="9"/>
        <v>9.6888636363636351</v>
      </c>
      <c r="R134" s="7">
        <f t="shared" si="10"/>
        <v>761.22542540231063</v>
      </c>
      <c r="S134" s="10">
        <f t="shared" si="11"/>
        <v>679.05925548823427</v>
      </c>
      <c r="T134" s="7">
        <v>69.599999999999994</v>
      </c>
      <c r="U134" s="7">
        <v>57.4</v>
      </c>
    </row>
    <row r="135" spans="1:21" x14ac:dyDescent="0.25">
      <c r="A135" s="4">
        <v>2023</v>
      </c>
      <c r="B135" s="3" t="s">
        <v>117</v>
      </c>
      <c r="C135" s="3" t="s">
        <v>118</v>
      </c>
      <c r="D135" s="3" t="s">
        <v>119</v>
      </c>
      <c r="E135" s="3" t="s">
        <v>120</v>
      </c>
      <c r="F135" s="3" t="s">
        <v>174</v>
      </c>
      <c r="G135" s="3">
        <v>406</v>
      </c>
      <c r="H135" s="3">
        <v>6</v>
      </c>
      <c r="I135" s="3">
        <v>4</v>
      </c>
      <c r="J135" s="3">
        <v>2</v>
      </c>
      <c r="K135" s="3">
        <v>2</v>
      </c>
      <c r="L135" s="2" t="s">
        <v>100</v>
      </c>
      <c r="M135" s="2" t="s">
        <v>30</v>
      </c>
      <c r="N135" s="2">
        <v>12.53</v>
      </c>
      <c r="O135" s="2">
        <v>13.6</v>
      </c>
      <c r="P135" s="2">
        <v>43.9</v>
      </c>
      <c r="Q135" s="9">
        <f t="shared" si="9"/>
        <v>12.302181818181818</v>
      </c>
      <c r="R135" s="7">
        <f t="shared" si="10"/>
        <v>966.54612340449239</v>
      </c>
      <c r="S135" s="10">
        <f t="shared" si="11"/>
        <v>862.21777288536339</v>
      </c>
      <c r="T135" s="7">
        <v>71</v>
      </c>
      <c r="U135" s="7">
        <v>57</v>
      </c>
    </row>
    <row r="136" spans="1:21" x14ac:dyDescent="0.25">
      <c r="A136" s="4">
        <v>2023</v>
      </c>
      <c r="B136" s="3" t="s">
        <v>117</v>
      </c>
      <c r="C136" s="3" t="s">
        <v>118</v>
      </c>
      <c r="D136" s="3" t="s">
        <v>119</v>
      </c>
      <c r="E136" s="3" t="s">
        <v>120</v>
      </c>
      <c r="F136" s="3" t="s">
        <v>175</v>
      </c>
      <c r="G136" s="3">
        <v>407</v>
      </c>
      <c r="H136" s="3">
        <v>7</v>
      </c>
      <c r="I136" s="3">
        <v>4</v>
      </c>
      <c r="J136" s="3">
        <v>2</v>
      </c>
      <c r="K136" s="3">
        <v>17</v>
      </c>
      <c r="L136" s="2" t="s">
        <v>42</v>
      </c>
      <c r="M136" s="2" t="s">
        <v>30</v>
      </c>
      <c r="N136" s="2">
        <v>11.18</v>
      </c>
      <c r="O136" s="2">
        <v>14.2</v>
      </c>
      <c r="P136" s="2">
        <v>43.5</v>
      </c>
      <c r="Q136" s="9">
        <f t="shared" si="9"/>
        <v>10.900499999999999</v>
      </c>
      <c r="R136" s="7">
        <f t="shared" si="10"/>
        <v>856.42011912060946</v>
      </c>
      <c r="S136" s="10">
        <f t="shared" si="11"/>
        <v>763.97869680696647</v>
      </c>
      <c r="T136" s="7">
        <v>71.599999999999994</v>
      </c>
      <c r="U136" s="7">
        <v>67.099999999999994</v>
      </c>
    </row>
    <row r="137" spans="1:21" x14ac:dyDescent="0.25">
      <c r="A137" s="4">
        <v>2023</v>
      </c>
      <c r="B137" s="3" t="s">
        <v>117</v>
      </c>
      <c r="C137" s="3" t="s">
        <v>118</v>
      </c>
      <c r="D137" s="3" t="s">
        <v>119</v>
      </c>
      <c r="E137" s="3" t="s">
        <v>120</v>
      </c>
      <c r="F137" s="3" t="s">
        <v>176</v>
      </c>
      <c r="G137" s="3">
        <v>408</v>
      </c>
      <c r="H137" s="3">
        <v>8</v>
      </c>
      <c r="I137" s="3">
        <v>4</v>
      </c>
      <c r="J137" s="3">
        <v>2</v>
      </c>
      <c r="K137" s="3">
        <v>6</v>
      </c>
      <c r="L137" s="2" t="s">
        <v>56</v>
      </c>
      <c r="M137" s="2" t="s">
        <v>53</v>
      </c>
      <c r="N137" s="2">
        <v>10.08</v>
      </c>
      <c r="O137" s="2">
        <v>13</v>
      </c>
      <c r="P137" s="2">
        <v>44.7</v>
      </c>
      <c r="Q137" s="9">
        <f t="shared" si="9"/>
        <v>9.9654545454545467</v>
      </c>
      <c r="R137" s="7">
        <f t="shared" si="10"/>
        <v>782.95635694777332</v>
      </c>
      <c r="S137" s="10">
        <f t="shared" si="11"/>
        <v>698.44456462780852</v>
      </c>
      <c r="T137" s="7">
        <v>71.3</v>
      </c>
      <c r="U137" s="7">
        <v>63.5</v>
      </c>
    </row>
    <row r="138" spans="1:21" x14ac:dyDescent="0.25">
      <c r="A138" s="4">
        <v>2023</v>
      </c>
      <c r="B138" s="3" t="s">
        <v>117</v>
      </c>
      <c r="C138" s="3" t="s">
        <v>118</v>
      </c>
      <c r="D138" s="3" t="s">
        <v>119</v>
      </c>
      <c r="E138" s="3" t="s">
        <v>120</v>
      </c>
      <c r="F138" s="3" t="s">
        <v>177</v>
      </c>
      <c r="G138" s="3">
        <v>409</v>
      </c>
      <c r="H138" s="3">
        <v>9</v>
      </c>
      <c r="I138" s="3">
        <v>4</v>
      </c>
      <c r="J138" s="3">
        <v>3</v>
      </c>
      <c r="K138" s="3">
        <v>13</v>
      </c>
      <c r="L138" s="2" t="s">
        <v>87</v>
      </c>
      <c r="M138" s="2" t="s">
        <v>658</v>
      </c>
      <c r="N138" s="2">
        <v>10.24</v>
      </c>
      <c r="O138" s="2">
        <v>10.9</v>
      </c>
      <c r="P138" s="2">
        <v>39.9</v>
      </c>
      <c r="Q138" s="9">
        <f t="shared" si="9"/>
        <v>10.367999999999999</v>
      </c>
      <c r="R138" s="7">
        <f t="shared" si="10"/>
        <v>814.58316545502305</v>
      </c>
      <c r="S138" s="10">
        <f t="shared" si="11"/>
        <v>726.65759630242917</v>
      </c>
      <c r="T138" s="7">
        <v>70.400000000000006</v>
      </c>
      <c r="U138" s="7">
        <v>59.7</v>
      </c>
    </row>
    <row r="139" spans="1:21" x14ac:dyDescent="0.25">
      <c r="A139" s="4">
        <v>2023</v>
      </c>
      <c r="B139" s="3" t="s">
        <v>117</v>
      </c>
      <c r="C139" s="3" t="s">
        <v>118</v>
      </c>
      <c r="D139" s="3" t="s">
        <v>119</v>
      </c>
      <c r="E139" s="3" t="s">
        <v>120</v>
      </c>
      <c r="F139" s="3" t="s">
        <v>178</v>
      </c>
      <c r="G139" s="3">
        <v>410</v>
      </c>
      <c r="H139" s="3">
        <v>10</v>
      </c>
      <c r="I139" s="3">
        <v>4</v>
      </c>
      <c r="J139" s="3">
        <v>3</v>
      </c>
      <c r="K139" s="3">
        <v>9</v>
      </c>
      <c r="L139" s="2" t="s">
        <v>69</v>
      </c>
      <c r="M139" s="2" t="s">
        <v>53</v>
      </c>
      <c r="N139" s="2">
        <v>13.41</v>
      </c>
      <c r="O139" s="2">
        <v>13.4</v>
      </c>
      <c r="P139" s="2">
        <v>45.1</v>
      </c>
      <c r="Q139" s="9">
        <f t="shared" si="9"/>
        <v>13.196659090909092</v>
      </c>
      <c r="R139" s="7">
        <f t="shared" si="10"/>
        <v>1036.8225632430108</v>
      </c>
      <c r="S139" s="10">
        <f t="shared" si="11"/>
        <v>924.90862019893916</v>
      </c>
      <c r="T139" s="7">
        <v>70.099999999999994</v>
      </c>
      <c r="U139" s="7">
        <v>61.6</v>
      </c>
    </row>
    <row r="140" spans="1:21" x14ac:dyDescent="0.25">
      <c r="A140" s="4">
        <v>2023</v>
      </c>
      <c r="B140" s="3" t="s">
        <v>117</v>
      </c>
      <c r="C140" s="3" t="s">
        <v>118</v>
      </c>
      <c r="D140" s="3" t="s">
        <v>119</v>
      </c>
      <c r="E140" s="3" t="s">
        <v>120</v>
      </c>
      <c r="F140" s="3" t="s">
        <v>179</v>
      </c>
      <c r="G140" s="3">
        <v>411</v>
      </c>
      <c r="H140" s="3">
        <v>11</v>
      </c>
      <c r="I140" s="3">
        <v>4</v>
      </c>
      <c r="J140" s="3">
        <v>3</v>
      </c>
      <c r="K140" s="3">
        <v>6</v>
      </c>
      <c r="L140" s="2" t="s">
        <v>56</v>
      </c>
      <c r="M140" s="2" t="s">
        <v>53</v>
      </c>
      <c r="N140" s="2">
        <v>10.32</v>
      </c>
      <c r="O140" s="2">
        <v>12.3</v>
      </c>
      <c r="P140" s="2">
        <v>44.9</v>
      </c>
      <c r="Q140" s="9">
        <f t="shared" si="9"/>
        <v>10.284818181818181</v>
      </c>
      <c r="R140" s="7">
        <f t="shared" si="10"/>
        <v>808.04781545860624</v>
      </c>
      <c r="S140" s="10">
        <f t="shared" si="11"/>
        <v>720.82766767047838</v>
      </c>
      <c r="T140" s="7">
        <v>71</v>
      </c>
      <c r="U140" s="7">
        <v>61.3</v>
      </c>
    </row>
    <row r="141" spans="1:21" x14ac:dyDescent="0.25">
      <c r="A141" s="4">
        <v>2023</v>
      </c>
      <c r="B141" s="3" t="s">
        <v>117</v>
      </c>
      <c r="C141" s="3" t="s">
        <v>118</v>
      </c>
      <c r="D141" s="3" t="s">
        <v>119</v>
      </c>
      <c r="E141" s="3" t="s">
        <v>120</v>
      </c>
      <c r="F141" s="3" t="s">
        <v>180</v>
      </c>
      <c r="G141" s="3">
        <v>412</v>
      </c>
      <c r="H141" s="3">
        <v>12</v>
      </c>
      <c r="I141" s="3">
        <v>4</v>
      </c>
      <c r="J141" s="3">
        <v>3</v>
      </c>
      <c r="K141" s="3">
        <v>16</v>
      </c>
      <c r="L141" s="2" t="s">
        <v>42</v>
      </c>
      <c r="M141" s="2" t="s">
        <v>658</v>
      </c>
      <c r="N141" s="2">
        <v>9.73</v>
      </c>
      <c r="O141" s="2">
        <v>13.5</v>
      </c>
      <c r="P141" s="2">
        <v>44.1</v>
      </c>
      <c r="Q141" s="9">
        <f t="shared" si="9"/>
        <v>9.5641477272727293</v>
      </c>
      <c r="R141" s="7">
        <f t="shared" si="10"/>
        <v>751.42686444456842</v>
      </c>
      <c r="S141" s="10">
        <f t="shared" si="11"/>
        <v>670.31834473199683</v>
      </c>
      <c r="T141" s="7">
        <v>71.7</v>
      </c>
      <c r="U141" s="7">
        <v>67</v>
      </c>
    </row>
    <row r="142" spans="1:21" x14ac:dyDescent="0.25">
      <c r="A142" s="4">
        <v>2023</v>
      </c>
      <c r="B142" s="3" t="s">
        <v>117</v>
      </c>
      <c r="C142" s="3" t="s">
        <v>118</v>
      </c>
      <c r="D142" s="3" t="s">
        <v>119</v>
      </c>
      <c r="E142" s="3" t="s">
        <v>120</v>
      </c>
      <c r="F142" s="3" t="s">
        <v>181</v>
      </c>
      <c r="G142" s="3">
        <v>413</v>
      </c>
      <c r="H142" s="3">
        <v>13</v>
      </c>
      <c r="I142" s="3">
        <v>4</v>
      </c>
      <c r="J142" s="3">
        <v>4</v>
      </c>
      <c r="K142" s="3">
        <v>1</v>
      </c>
      <c r="L142" s="2" t="s">
        <v>100</v>
      </c>
      <c r="M142" s="2" t="s">
        <v>658</v>
      </c>
      <c r="N142" s="2">
        <v>12.46</v>
      </c>
      <c r="O142" s="2">
        <v>12.6</v>
      </c>
      <c r="P142" s="2">
        <v>44.8</v>
      </c>
      <c r="Q142" s="9">
        <f t="shared" si="9"/>
        <v>12.375045454545456</v>
      </c>
      <c r="R142" s="7">
        <f t="shared" si="10"/>
        <v>972.27080430299316</v>
      </c>
      <c r="S142" s="10">
        <f t="shared" si="11"/>
        <v>867.32453550668436</v>
      </c>
      <c r="T142" s="7">
        <v>71.2</v>
      </c>
      <c r="U142" s="7">
        <v>56.8</v>
      </c>
    </row>
    <row r="143" spans="1:21" x14ac:dyDescent="0.25">
      <c r="A143" s="4">
        <v>2023</v>
      </c>
      <c r="B143" s="3" t="s">
        <v>117</v>
      </c>
      <c r="C143" s="3" t="s">
        <v>118</v>
      </c>
      <c r="D143" s="3" t="s">
        <v>119</v>
      </c>
      <c r="E143" s="3" t="s">
        <v>120</v>
      </c>
      <c r="F143" s="3" t="s">
        <v>182</v>
      </c>
      <c r="G143" s="3">
        <v>414</v>
      </c>
      <c r="H143" s="3">
        <v>14</v>
      </c>
      <c r="I143" s="3">
        <v>4</v>
      </c>
      <c r="J143" s="3">
        <v>4</v>
      </c>
      <c r="K143" s="3">
        <v>8</v>
      </c>
      <c r="L143" s="2" t="s">
        <v>69</v>
      </c>
      <c r="M143" s="2" t="s">
        <v>30</v>
      </c>
      <c r="N143" s="2">
        <v>13.58</v>
      </c>
      <c r="O143" s="2">
        <v>13.2</v>
      </c>
      <c r="P143" s="2">
        <v>45.7</v>
      </c>
      <c r="Q143" s="9">
        <f t="shared" si="9"/>
        <v>13.394818181818183</v>
      </c>
      <c r="R143" s="7">
        <f t="shared" si="10"/>
        <v>1052.3913382754586</v>
      </c>
      <c r="S143" s="10">
        <f t="shared" si="11"/>
        <v>938.79691193172039</v>
      </c>
      <c r="T143" s="7">
        <v>70.2</v>
      </c>
      <c r="U143" s="7">
        <v>61.8</v>
      </c>
    </row>
    <row r="144" spans="1:21" x14ac:dyDescent="0.25">
      <c r="A144" s="4">
        <v>2023</v>
      </c>
      <c r="B144" s="3" t="s">
        <v>117</v>
      </c>
      <c r="C144" s="3" t="s">
        <v>118</v>
      </c>
      <c r="D144" s="3" t="s">
        <v>119</v>
      </c>
      <c r="E144" s="3" t="s">
        <v>120</v>
      </c>
      <c r="F144" s="3" t="s">
        <v>183</v>
      </c>
      <c r="G144" s="3">
        <v>415</v>
      </c>
      <c r="H144" s="3">
        <v>15</v>
      </c>
      <c r="I144" s="3">
        <v>4</v>
      </c>
      <c r="J144" s="3">
        <v>4</v>
      </c>
      <c r="K144" s="3">
        <v>9</v>
      </c>
      <c r="L144" s="2" t="s">
        <v>69</v>
      </c>
      <c r="M144" s="2" t="s">
        <v>53</v>
      </c>
      <c r="N144" s="2">
        <v>14.27</v>
      </c>
      <c r="O144" s="2">
        <v>13.1</v>
      </c>
      <c r="P144" s="2">
        <v>45.2</v>
      </c>
      <c r="Q144" s="9">
        <f t="shared" si="9"/>
        <v>14.091624999999999</v>
      </c>
      <c r="R144" s="7">
        <f t="shared" si="10"/>
        <v>1107.1373937987212</v>
      </c>
      <c r="S144" s="10">
        <f t="shared" si="11"/>
        <v>987.6337143610358</v>
      </c>
      <c r="T144" s="7">
        <v>70.7</v>
      </c>
      <c r="U144" s="7">
        <v>62.1</v>
      </c>
    </row>
    <row r="145" spans="1:21" x14ac:dyDescent="0.25">
      <c r="A145" s="4">
        <v>2023</v>
      </c>
      <c r="B145" s="3" t="s">
        <v>117</v>
      </c>
      <c r="C145" s="3" t="s">
        <v>118</v>
      </c>
      <c r="D145" s="3" t="s">
        <v>119</v>
      </c>
      <c r="E145" s="3" t="s">
        <v>120</v>
      </c>
      <c r="F145" s="3" t="s">
        <v>184</v>
      </c>
      <c r="G145" s="3">
        <v>416</v>
      </c>
      <c r="H145" s="3">
        <v>16</v>
      </c>
      <c r="I145" s="3">
        <v>4</v>
      </c>
      <c r="J145" s="3">
        <v>4</v>
      </c>
      <c r="K145" s="3">
        <v>17</v>
      </c>
      <c r="L145" s="2" t="s">
        <v>42</v>
      </c>
      <c r="M145" s="2" t="s">
        <v>30</v>
      </c>
      <c r="N145" s="2">
        <v>11.39</v>
      </c>
      <c r="O145" s="2">
        <v>12.5</v>
      </c>
      <c r="P145" s="2">
        <v>44.8</v>
      </c>
      <c r="Q145" s="9">
        <f t="shared" si="9"/>
        <v>11.325284090909092</v>
      </c>
      <c r="R145" s="7">
        <f t="shared" si="10"/>
        <v>889.79415166378669</v>
      </c>
      <c r="S145" s="10">
        <f t="shared" si="11"/>
        <v>793.75035830846275</v>
      </c>
      <c r="T145" s="7">
        <v>71.900000000000006</v>
      </c>
      <c r="U145" s="7">
        <v>67.7</v>
      </c>
    </row>
    <row r="146" spans="1:21" x14ac:dyDescent="0.25">
      <c r="A146" s="4">
        <v>2023</v>
      </c>
      <c r="B146" s="3" t="s">
        <v>117</v>
      </c>
      <c r="C146" s="3" t="s">
        <v>118</v>
      </c>
      <c r="D146" s="3" t="s">
        <v>119</v>
      </c>
      <c r="E146" s="3" t="s">
        <v>120</v>
      </c>
      <c r="F146" s="3" t="s">
        <v>185</v>
      </c>
      <c r="G146" s="3">
        <v>501</v>
      </c>
      <c r="H146" s="3">
        <v>1</v>
      </c>
      <c r="I146" s="3">
        <v>5</v>
      </c>
      <c r="J146" s="3">
        <v>1</v>
      </c>
      <c r="K146" s="3">
        <v>7</v>
      </c>
      <c r="L146" s="2" t="s">
        <v>69</v>
      </c>
      <c r="M146" s="2" t="s">
        <v>658</v>
      </c>
      <c r="N146" s="2">
        <v>12.49</v>
      </c>
      <c r="O146" s="2">
        <v>12.8</v>
      </c>
      <c r="P146" s="2">
        <v>44.6</v>
      </c>
      <c r="Q146" s="9">
        <f t="shared" ref="Q146:Q162" si="12">N146*(1-O146/100)/(1-0.12)</f>
        <v>12.376454545454546</v>
      </c>
      <c r="R146" s="7">
        <f t="shared" ref="R146:R162" si="13">((10000*Q146*12%/2.205))/((4.66*16)/10.764)</f>
        <v>972.38151241768651</v>
      </c>
      <c r="S146" s="10">
        <f t="shared" ref="S146:S162" si="14">R146/1.121</f>
        <v>867.42329386055894</v>
      </c>
      <c r="T146" s="7">
        <v>70.099999999999994</v>
      </c>
      <c r="U146" s="7">
        <v>59.1</v>
      </c>
    </row>
    <row r="147" spans="1:21" x14ac:dyDescent="0.25">
      <c r="A147" s="4">
        <v>2023</v>
      </c>
      <c r="B147" s="3" t="s">
        <v>117</v>
      </c>
      <c r="C147" s="3" t="s">
        <v>118</v>
      </c>
      <c r="D147" s="3" t="s">
        <v>119</v>
      </c>
      <c r="E147" s="3" t="s">
        <v>120</v>
      </c>
      <c r="F147" s="3" t="s">
        <v>186</v>
      </c>
      <c r="G147" s="3">
        <v>502</v>
      </c>
      <c r="H147" s="3">
        <v>2</v>
      </c>
      <c r="I147" s="3">
        <v>5</v>
      </c>
      <c r="J147" s="3">
        <v>1</v>
      </c>
      <c r="K147" s="3">
        <v>13</v>
      </c>
      <c r="L147" s="2" t="s">
        <v>87</v>
      </c>
      <c r="M147" s="2" t="s">
        <v>658</v>
      </c>
      <c r="N147" s="2">
        <v>9.68</v>
      </c>
      <c r="O147" s="2">
        <v>9.99</v>
      </c>
      <c r="P147" s="2">
        <v>39.1</v>
      </c>
      <c r="Q147" s="9">
        <f t="shared" si="12"/>
        <v>9.9010999999999996</v>
      </c>
      <c r="R147" s="7">
        <f t="shared" si="13"/>
        <v>777.90021021284042</v>
      </c>
      <c r="S147" s="10">
        <f t="shared" si="14"/>
        <v>693.93417503375599</v>
      </c>
      <c r="T147" s="7">
        <v>69.900000000000006</v>
      </c>
      <c r="U147" s="7">
        <v>60</v>
      </c>
    </row>
    <row r="148" spans="1:21" x14ac:dyDescent="0.25">
      <c r="A148" s="4">
        <v>2023</v>
      </c>
      <c r="B148" s="3" t="s">
        <v>117</v>
      </c>
      <c r="C148" s="3" t="s">
        <v>118</v>
      </c>
      <c r="D148" s="3" t="s">
        <v>119</v>
      </c>
      <c r="E148" s="3" t="s">
        <v>120</v>
      </c>
      <c r="F148" s="3" t="s">
        <v>187</v>
      </c>
      <c r="G148" s="3">
        <v>503</v>
      </c>
      <c r="H148" s="3">
        <v>3</v>
      </c>
      <c r="I148" s="3">
        <v>5</v>
      </c>
      <c r="J148" s="3">
        <v>1</v>
      </c>
      <c r="K148" s="3">
        <v>5</v>
      </c>
      <c r="L148" s="2" t="s">
        <v>56</v>
      </c>
      <c r="M148" s="2" t="s">
        <v>30</v>
      </c>
      <c r="N148" s="2">
        <v>7.93</v>
      </c>
      <c r="O148" s="2">
        <v>14.1</v>
      </c>
      <c r="P148" s="2">
        <v>48.3</v>
      </c>
      <c r="Q148" s="9">
        <f t="shared" si="12"/>
        <v>7.7407613636363637</v>
      </c>
      <c r="R148" s="7">
        <f t="shared" si="13"/>
        <v>608.16877841655582</v>
      </c>
      <c r="S148" s="10">
        <f t="shared" si="14"/>
        <v>542.52344194161981</v>
      </c>
      <c r="T148" s="7">
        <v>71.2</v>
      </c>
      <c r="U148" s="7">
        <v>64.599999999999994</v>
      </c>
    </row>
    <row r="149" spans="1:21" x14ac:dyDescent="0.25">
      <c r="A149" s="4">
        <v>2023</v>
      </c>
      <c r="B149" s="3" t="s">
        <v>117</v>
      </c>
      <c r="C149" s="3" t="s">
        <v>118</v>
      </c>
      <c r="D149" s="3" t="s">
        <v>119</v>
      </c>
      <c r="E149" s="3" t="s">
        <v>120</v>
      </c>
      <c r="F149" s="3" t="s">
        <v>188</v>
      </c>
      <c r="G149" s="3">
        <v>504</v>
      </c>
      <c r="H149" s="3">
        <v>4</v>
      </c>
      <c r="I149" s="3">
        <v>5</v>
      </c>
      <c r="J149" s="3">
        <v>1</v>
      </c>
      <c r="K149" s="3">
        <v>17</v>
      </c>
      <c r="L149" s="2" t="s">
        <v>42</v>
      </c>
      <c r="M149" s="2" t="s">
        <v>30</v>
      </c>
      <c r="N149" s="2">
        <v>9.68</v>
      </c>
      <c r="O149" s="2">
        <v>15</v>
      </c>
      <c r="P149" s="2">
        <v>45.1</v>
      </c>
      <c r="Q149" s="9">
        <f t="shared" si="12"/>
        <v>9.35</v>
      </c>
      <c r="R149" s="7">
        <f t="shared" si="13"/>
        <v>734.60190943330122</v>
      </c>
      <c r="S149" s="10">
        <f t="shared" si="14"/>
        <v>655.30946425807429</v>
      </c>
      <c r="T149" s="7">
        <v>71.2</v>
      </c>
      <c r="U149" s="7">
        <v>66.7</v>
      </c>
    </row>
    <row r="150" spans="1:21" x14ac:dyDescent="0.25">
      <c r="A150" s="4">
        <v>2023</v>
      </c>
      <c r="B150" s="3" t="s">
        <v>117</v>
      </c>
      <c r="C150" s="3" t="s">
        <v>118</v>
      </c>
      <c r="D150" s="3" t="s">
        <v>119</v>
      </c>
      <c r="E150" s="3" t="s">
        <v>120</v>
      </c>
      <c r="F150" s="3" t="s">
        <v>189</v>
      </c>
      <c r="G150" s="3">
        <v>505</v>
      </c>
      <c r="H150" s="3">
        <v>5</v>
      </c>
      <c r="I150" s="3">
        <v>5</v>
      </c>
      <c r="J150" s="3">
        <v>2</v>
      </c>
      <c r="K150" s="3">
        <v>15</v>
      </c>
      <c r="L150" s="2" t="s">
        <v>87</v>
      </c>
      <c r="M150" s="2" t="s">
        <v>53</v>
      </c>
      <c r="N150" s="2">
        <v>8.56</v>
      </c>
      <c r="O150" s="2">
        <v>11</v>
      </c>
      <c r="P150" s="2">
        <v>40.1</v>
      </c>
      <c r="Q150" s="9">
        <f t="shared" si="12"/>
        <v>8.6572727272727281</v>
      </c>
      <c r="R150" s="7">
        <f t="shared" si="13"/>
        <v>680.17637175822335</v>
      </c>
      <c r="S150" s="10">
        <f t="shared" si="14"/>
        <v>606.75858319199233</v>
      </c>
      <c r="T150" s="7">
        <v>69.8</v>
      </c>
      <c r="U150" s="7">
        <v>58.9</v>
      </c>
    </row>
    <row r="151" spans="1:21" x14ac:dyDescent="0.25">
      <c r="A151" s="4">
        <v>2023</v>
      </c>
      <c r="B151" s="3" t="s">
        <v>117</v>
      </c>
      <c r="C151" s="3" t="s">
        <v>118</v>
      </c>
      <c r="D151" s="3" t="s">
        <v>119</v>
      </c>
      <c r="E151" s="3" t="s">
        <v>120</v>
      </c>
      <c r="F151" s="3" t="s">
        <v>190</v>
      </c>
      <c r="G151" s="3">
        <v>506</v>
      </c>
      <c r="H151" s="3">
        <v>6</v>
      </c>
      <c r="I151" s="3">
        <v>5</v>
      </c>
      <c r="J151" s="3">
        <v>2</v>
      </c>
      <c r="K151" s="3">
        <v>11</v>
      </c>
      <c r="L151" s="2" t="s">
        <v>27</v>
      </c>
      <c r="M151" s="2" t="s">
        <v>30</v>
      </c>
      <c r="N151" s="2">
        <v>10.27</v>
      </c>
      <c r="O151" s="2">
        <v>17.7</v>
      </c>
      <c r="P151" s="2">
        <v>46.2</v>
      </c>
      <c r="Q151" s="9">
        <f t="shared" si="12"/>
        <v>9.6047840909090905</v>
      </c>
      <c r="R151" s="7">
        <f t="shared" si="13"/>
        <v>754.61954362314566</v>
      </c>
      <c r="S151" s="10">
        <f t="shared" si="14"/>
        <v>673.16640822760542</v>
      </c>
      <c r="T151" s="7">
        <v>73.400000000000006</v>
      </c>
      <c r="U151" s="7">
        <v>67</v>
      </c>
    </row>
    <row r="152" spans="1:21" x14ac:dyDescent="0.25">
      <c r="A152" s="4">
        <v>2023</v>
      </c>
      <c r="B152" s="3" t="s">
        <v>117</v>
      </c>
      <c r="C152" s="3" t="s">
        <v>118</v>
      </c>
      <c r="D152" s="3" t="s">
        <v>119</v>
      </c>
      <c r="E152" s="3" t="s">
        <v>120</v>
      </c>
      <c r="F152" s="3" t="s">
        <v>191</v>
      </c>
      <c r="G152" s="3">
        <v>507</v>
      </c>
      <c r="H152" s="3">
        <v>7</v>
      </c>
      <c r="I152" s="3">
        <v>5</v>
      </c>
      <c r="J152" s="3">
        <v>2</v>
      </c>
      <c r="K152" s="3">
        <v>7</v>
      </c>
      <c r="L152" s="2" t="s">
        <v>69</v>
      </c>
      <c r="M152" s="2" t="s">
        <v>658</v>
      </c>
      <c r="N152" s="2">
        <v>12.54</v>
      </c>
      <c r="O152" s="2">
        <v>13.6</v>
      </c>
      <c r="P152" s="2">
        <v>45.5</v>
      </c>
      <c r="Q152" s="9">
        <f t="shared" si="12"/>
        <v>12.311999999999999</v>
      </c>
      <c r="R152" s="7">
        <f t="shared" si="13"/>
        <v>967.31750897784002</v>
      </c>
      <c r="S152" s="10">
        <f t="shared" si="14"/>
        <v>862.90589560913475</v>
      </c>
      <c r="T152" s="7">
        <v>70.400000000000006</v>
      </c>
      <c r="U152" s="7">
        <v>61.1</v>
      </c>
    </row>
    <row r="153" spans="1:21" x14ac:dyDescent="0.25">
      <c r="A153" s="4">
        <v>2023</v>
      </c>
      <c r="B153" s="3" t="s">
        <v>117</v>
      </c>
      <c r="C153" s="3" t="s">
        <v>118</v>
      </c>
      <c r="D153" s="3" t="s">
        <v>119</v>
      </c>
      <c r="E153" s="3" t="s">
        <v>120</v>
      </c>
      <c r="F153" s="3" t="s">
        <v>192</v>
      </c>
      <c r="G153" s="3">
        <v>508</v>
      </c>
      <c r="H153" s="3">
        <v>8</v>
      </c>
      <c r="I153" s="3">
        <v>5</v>
      </c>
      <c r="J153" s="3">
        <v>2</v>
      </c>
      <c r="K153" s="3">
        <v>18</v>
      </c>
      <c r="L153" s="2" t="s">
        <v>42</v>
      </c>
      <c r="M153" s="2" t="s">
        <v>53</v>
      </c>
      <c r="N153" s="2">
        <v>9.84</v>
      </c>
      <c r="O153" s="2">
        <v>14.3</v>
      </c>
      <c r="P153" s="2">
        <v>45.2</v>
      </c>
      <c r="Q153" s="9">
        <f t="shared" si="12"/>
        <v>9.5828181818181815</v>
      </c>
      <c r="R153" s="7">
        <f t="shared" si="13"/>
        <v>752.89374696425568</v>
      </c>
      <c r="S153" s="10">
        <f t="shared" si="14"/>
        <v>671.62689292083473</v>
      </c>
      <c r="T153" s="7">
        <v>71.5</v>
      </c>
      <c r="U153" s="7">
        <v>66.900000000000006</v>
      </c>
    </row>
    <row r="154" spans="1:21" x14ac:dyDescent="0.25">
      <c r="A154" s="4">
        <v>2023</v>
      </c>
      <c r="B154" s="3" t="s">
        <v>117</v>
      </c>
      <c r="C154" s="3" t="s">
        <v>118</v>
      </c>
      <c r="D154" s="3" t="s">
        <v>119</v>
      </c>
      <c r="E154" s="3" t="s">
        <v>120</v>
      </c>
      <c r="F154" s="3" t="s">
        <v>193</v>
      </c>
      <c r="G154" s="3">
        <v>509</v>
      </c>
      <c r="H154" s="3">
        <v>9</v>
      </c>
      <c r="I154" s="3">
        <v>5</v>
      </c>
      <c r="J154" s="3">
        <v>3</v>
      </c>
      <c r="K154" s="3">
        <v>17</v>
      </c>
      <c r="L154" s="2" t="s">
        <v>42</v>
      </c>
      <c r="M154" s="2" t="s">
        <v>30</v>
      </c>
      <c r="N154" s="2">
        <v>9.66</v>
      </c>
      <c r="O154" s="2">
        <v>13.7</v>
      </c>
      <c r="P154" s="2">
        <v>42.9</v>
      </c>
      <c r="Q154" s="9">
        <f t="shared" si="12"/>
        <v>9.4733863636363633</v>
      </c>
      <c r="R154" s="7">
        <f t="shared" si="13"/>
        <v>744.29601192798611</v>
      </c>
      <c r="S154" s="10">
        <f t="shared" si="14"/>
        <v>663.95719172880115</v>
      </c>
      <c r="T154" s="7">
        <v>71.5</v>
      </c>
      <c r="U154" s="7">
        <v>66.3</v>
      </c>
    </row>
    <row r="155" spans="1:21" x14ac:dyDescent="0.25">
      <c r="A155" s="4">
        <v>2023</v>
      </c>
      <c r="B155" s="3" t="s">
        <v>117</v>
      </c>
      <c r="C155" s="3" t="s">
        <v>118</v>
      </c>
      <c r="D155" s="3" t="s">
        <v>119</v>
      </c>
      <c r="E155" s="3" t="s">
        <v>120</v>
      </c>
      <c r="F155" s="3" t="s">
        <v>194</v>
      </c>
      <c r="G155" s="3">
        <v>510</v>
      </c>
      <c r="H155" s="3">
        <v>10</v>
      </c>
      <c r="I155" s="3">
        <v>5</v>
      </c>
      <c r="J155" s="3">
        <v>3</v>
      </c>
      <c r="K155" s="3">
        <v>14</v>
      </c>
      <c r="L155" s="2" t="s">
        <v>87</v>
      </c>
      <c r="M155" s="2" t="s">
        <v>30</v>
      </c>
      <c r="N155" s="2">
        <v>9.08</v>
      </c>
      <c r="O155" s="2">
        <v>10.8</v>
      </c>
      <c r="P155" s="2">
        <v>40.299999999999997</v>
      </c>
      <c r="Q155" s="9">
        <f t="shared" si="12"/>
        <v>9.2038181818181819</v>
      </c>
      <c r="R155" s="7">
        <f t="shared" si="13"/>
        <v>723.11683534123745</v>
      </c>
      <c r="S155" s="10">
        <f t="shared" si="14"/>
        <v>645.06408148192463</v>
      </c>
      <c r="T155" s="7">
        <v>70.8</v>
      </c>
      <c r="U155" s="7">
        <v>60.7</v>
      </c>
    </row>
    <row r="156" spans="1:21" x14ac:dyDescent="0.25">
      <c r="A156" s="4">
        <v>2023</v>
      </c>
      <c r="B156" s="3" t="s">
        <v>117</v>
      </c>
      <c r="C156" s="3" t="s">
        <v>118</v>
      </c>
      <c r="D156" s="3" t="s">
        <v>119</v>
      </c>
      <c r="E156" s="3" t="s">
        <v>120</v>
      </c>
      <c r="F156" s="3" t="s">
        <v>195</v>
      </c>
      <c r="G156" s="3">
        <v>511</v>
      </c>
      <c r="H156" s="3">
        <v>11</v>
      </c>
      <c r="I156" s="3">
        <v>5</v>
      </c>
      <c r="J156" s="3">
        <v>3</v>
      </c>
      <c r="K156" s="3">
        <v>1</v>
      </c>
      <c r="L156" s="2" t="s">
        <v>100</v>
      </c>
      <c r="M156" s="2" t="s">
        <v>658</v>
      </c>
      <c r="N156" s="2">
        <v>11.16</v>
      </c>
      <c r="O156" s="2">
        <v>12.4</v>
      </c>
      <c r="P156" s="2">
        <v>43.7</v>
      </c>
      <c r="Q156" s="9">
        <f t="shared" si="12"/>
        <v>11.109272727272728</v>
      </c>
      <c r="R156" s="7">
        <f t="shared" si="13"/>
        <v>872.82277624276401</v>
      </c>
      <c r="S156" s="10">
        <f t="shared" si="14"/>
        <v>778.6108619471579</v>
      </c>
      <c r="T156" s="7">
        <v>70.900000000000006</v>
      </c>
      <c r="U156" s="7">
        <v>57.6</v>
      </c>
    </row>
    <row r="157" spans="1:21" x14ac:dyDescent="0.25">
      <c r="A157" s="4">
        <v>2023</v>
      </c>
      <c r="B157" s="3" t="s">
        <v>117</v>
      </c>
      <c r="C157" s="3" t="s">
        <v>118</v>
      </c>
      <c r="D157" s="3" t="s">
        <v>119</v>
      </c>
      <c r="E157" s="3" t="s">
        <v>120</v>
      </c>
      <c r="F157" s="3" t="s">
        <v>196</v>
      </c>
      <c r="G157" s="3">
        <v>512</v>
      </c>
      <c r="H157" s="3">
        <v>12</v>
      </c>
      <c r="I157" s="3">
        <v>5</v>
      </c>
      <c r="J157" s="3">
        <v>3</v>
      </c>
      <c r="K157" s="3">
        <v>10</v>
      </c>
      <c r="L157" s="2" t="s">
        <v>27</v>
      </c>
      <c r="M157" s="2" t="s">
        <v>658</v>
      </c>
      <c r="N157" s="2">
        <v>10.3</v>
      </c>
      <c r="O157" s="2">
        <v>16</v>
      </c>
      <c r="P157" s="2">
        <v>46</v>
      </c>
      <c r="Q157" s="9">
        <f t="shared" si="12"/>
        <v>9.8318181818181838</v>
      </c>
      <c r="R157" s="7">
        <f t="shared" si="13"/>
        <v>772.45694219943164</v>
      </c>
      <c r="S157" s="10">
        <f t="shared" si="14"/>
        <v>689.07844977647778</v>
      </c>
      <c r="T157" s="7">
        <v>73.5</v>
      </c>
      <c r="U157" s="7">
        <v>66.599999999999994</v>
      </c>
    </row>
    <row r="158" spans="1:21" x14ac:dyDescent="0.25">
      <c r="A158" s="4">
        <v>2023</v>
      </c>
      <c r="B158" s="3" t="s">
        <v>117</v>
      </c>
      <c r="C158" s="3" t="s">
        <v>118</v>
      </c>
      <c r="D158" s="3" t="s">
        <v>119</v>
      </c>
      <c r="E158" s="3" t="s">
        <v>120</v>
      </c>
      <c r="F158" s="3" t="s">
        <v>197</v>
      </c>
      <c r="G158" s="3">
        <v>513</v>
      </c>
      <c r="H158" s="3">
        <v>13</v>
      </c>
      <c r="I158" s="3">
        <v>5</v>
      </c>
      <c r="J158" s="3">
        <v>4</v>
      </c>
      <c r="K158" s="3">
        <v>16</v>
      </c>
      <c r="L158" s="2" t="s">
        <v>42</v>
      </c>
      <c r="M158" s="2" t="s">
        <v>658</v>
      </c>
      <c r="N158" s="2">
        <v>9.5299999999999994</v>
      </c>
      <c r="O158" s="2">
        <v>13.4</v>
      </c>
      <c r="P158" s="2">
        <v>43.9</v>
      </c>
      <c r="Q158" s="9">
        <f t="shared" si="12"/>
        <v>9.3783863636363627</v>
      </c>
      <c r="R158" s="7">
        <f t="shared" si="13"/>
        <v>736.8321422599472</v>
      </c>
      <c r="S158" s="10">
        <f t="shared" si="14"/>
        <v>657.29896722564422</v>
      </c>
      <c r="T158" s="7">
        <v>70.900000000000006</v>
      </c>
      <c r="U158" s="7">
        <v>64.7</v>
      </c>
    </row>
    <row r="159" spans="1:21" x14ac:dyDescent="0.25">
      <c r="A159" s="4">
        <v>2023</v>
      </c>
      <c r="B159" s="3" t="s">
        <v>117</v>
      </c>
      <c r="C159" s="3" t="s">
        <v>118</v>
      </c>
      <c r="D159" s="3" t="s">
        <v>119</v>
      </c>
      <c r="E159" s="3" t="s">
        <v>120</v>
      </c>
      <c r="F159" s="3" t="s">
        <v>198</v>
      </c>
      <c r="G159" s="3">
        <v>514</v>
      </c>
      <c r="H159" s="3">
        <v>14</v>
      </c>
      <c r="I159" s="3">
        <v>5</v>
      </c>
      <c r="J159" s="3">
        <v>4</v>
      </c>
      <c r="K159" s="3">
        <v>3</v>
      </c>
      <c r="L159" s="2" t="s">
        <v>100</v>
      </c>
      <c r="M159" s="2" t="s">
        <v>53</v>
      </c>
      <c r="N159" s="2">
        <v>12.07</v>
      </c>
      <c r="O159" s="2">
        <v>12.9</v>
      </c>
      <c r="P159" s="2">
        <v>43.5</v>
      </c>
      <c r="Q159" s="9">
        <f t="shared" si="12"/>
        <v>11.946556818181818</v>
      </c>
      <c r="R159" s="7">
        <f t="shared" si="13"/>
        <v>938.60571655505748</v>
      </c>
      <c r="S159" s="10">
        <f t="shared" si="14"/>
        <v>837.29323510709855</v>
      </c>
      <c r="T159" s="7">
        <v>71.7</v>
      </c>
      <c r="U159" s="7">
        <v>59.6</v>
      </c>
    </row>
    <row r="160" spans="1:21" x14ac:dyDescent="0.25">
      <c r="A160" s="4">
        <v>2023</v>
      </c>
      <c r="B160" s="3" t="s">
        <v>117</v>
      </c>
      <c r="C160" s="3" t="s">
        <v>118</v>
      </c>
      <c r="D160" s="3" t="s">
        <v>119</v>
      </c>
      <c r="E160" s="3" t="s">
        <v>120</v>
      </c>
      <c r="F160" s="3" t="s">
        <v>199</v>
      </c>
      <c r="G160" s="3">
        <v>515</v>
      </c>
      <c r="H160" s="3">
        <v>15</v>
      </c>
      <c r="I160" s="3">
        <v>5</v>
      </c>
      <c r="J160" s="3">
        <v>4</v>
      </c>
      <c r="K160" s="3">
        <v>13</v>
      </c>
      <c r="L160" s="2" t="s">
        <v>87</v>
      </c>
      <c r="M160" s="2" t="s">
        <v>658</v>
      </c>
      <c r="N160" s="2">
        <v>10.17</v>
      </c>
      <c r="O160" s="2">
        <v>10.5</v>
      </c>
      <c r="P160" s="2">
        <v>40.299999999999997</v>
      </c>
      <c r="Q160" s="9">
        <f t="shared" si="12"/>
        <v>10.343352272727273</v>
      </c>
      <c r="R160" s="7">
        <f t="shared" si="13"/>
        <v>812.64666625526525</v>
      </c>
      <c r="S160" s="10">
        <f t="shared" si="14"/>
        <v>724.9301215479619</v>
      </c>
      <c r="T160" s="7">
        <v>69.900000000000006</v>
      </c>
      <c r="U160" s="7">
        <v>59.3</v>
      </c>
    </row>
    <row r="161" spans="1:21" x14ac:dyDescent="0.25">
      <c r="A161" s="4">
        <v>2023</v>
      </c>
      <c r="B161" s="3" t="s">
        <v>117</v>
      </c>
      <c r="C161" s="3" t="s">
        <v>118</v>
      </c>
      <c r="D161" s="3" t="s">
        <v>119</v>
      </c>
      <c r="E161" s="3" t="s">
        <v>120</v>
      </c>
      <c r="F161" s="3" t="s">
        <v>200</v>
      </c>
      <c r="G161" s="3">
        <v>516</v>
      </c>
      <c r="H161" s="3">
        <v>16</v>
      </c>
      <c r="I161" s="3">
        <v>5</v>
      </c>
      <c r="J161" s="3">
        <v>4</v>
      </c>
      <c r="K161" s="3">
        <v>7</v>
      </c>
      <c r="L161" s="2" t="s">
        <v>69</v>
      </c>
      <c r="M161" s="2" t="s">
        <v>658</v>
      </c>
      <c r="N161" s="2">
        <v>12.27</v>
      </c>
      <c r="O161" s="2">
        <v>11.5</v>
      </c>
      <c r="P161" s="2">
        <v>44.5</v>
      </c>
      <c r="Q161" s="9">
        <f t="shared" si="12"/>
        <v>12.339715909090909</v>
      </c>
      <c r="R161" s="7">
        <f t="shared" si="13"/>
        <v>969.49506616926897</v>
      </c>
      <c r="S161" s="10">
        <f t="shared" si="14"/>
        <v>864.84840871478048</v>
      </c>
      <c r="T161" s="7">
        <v>70.7</v>
      </c>
      <c r="U161" s="7">
        <v>60.7</v>
      </c>
    </row>
    <row r="162" spans="1:21" x14ac:dyDescent="0.25">
      <c r="A162" s="4">
        <v>2023</v>
      </c>
      <c r="B162" s="3" t="s">
        <v>201</v>
      </c>
      <c r="C162" s="3" t="s">
        <v>202</v>
      </c>
      <c r="D162" s="3" t="s">
        <v>203</v>
      </c>
      <c r="E162" s="3" t="s">
        <v>204</v>
      </c>
      <c r="F162" s="3" t="s">
        <v>659</v>
      </c>
      <c r="G162" s="3">
        <v>101</v>
      </c>
      <c r="H162" s="3">
        <v>1</v>
      </c>
      <c r="I162" s="3">
        <v>1</v>
      </c>
      <c r="J162" s="3">
        <v>1</v>
      </c>
      <c r="K162" s="3">
        <v>14</v>
      </c>
      <c r="L162" s="2" t="s">
        <v>87</v>
      </c>
      <c r="M162" s="2" t="s">
        <v>30</v>
      </c>
      <c r="N162" s="3">
        <v>9.5500000000000007</v>
      </c>
      <c r="O162" s="3">
        <v>10.9</v>
      </c>
      <c r="P162" s="3">
        <v>34.5</v>
      </c>
      <c r="Q162" s="9">
        <f t="shared" si="12"/>
        <v>9.6693750000000005</v>
      </c>
      <c r="R162" s="10">
        <f t="shared" si="13"/>
        <v>759.69426075151091</v>
      </c>
      <c r="S162" s="11">
        <f t="shared" si="14"/>
        <v>677.69336373908197</v>
      </c>
      <c r="T162" s="7">
        <v>67.400000000000006</v>
      </c>
      <c r="U162" s="7">
        <v>27.6</v>
      </c>
    </row>
    <row r="163" spans="1:21" x14ac:dyDescent="0.25">
      <c r="A163" s="4">
        <v>2023</v>
      </c>
      <c r="B163" s="3" t="s">
        <v>201</v>
      </c>
      <c r="C163" s="3" t="s">
        <v>202</v>
      </c>
      <c r="D163" s="3" t="s">
        <v>203</v>
      </c>
      <c r="E163" s="3" t="s">
        <v>204</v>
      </c>
      <c r="F163" s="3" t="s">
        <v>660</v>
      </c>
      <c r="G163" s="3">
        <v>102</v>
      </c>
      <c r="H163" s="3">
        <v>1</v>
      </c>
      <c r="I163" s="3">
        <v>2</v>
      </c>
      <c r="J163" s="3">
        <v>1</v>
      </c>
      <c r="K163" s="3">
        <v>4</v>
      </c>
      <c r="L163" s="2" t="s">
        <v>56</v>
      </c>
      <c r="M163" s="2" t="s">
        <v>658</v>
      </c>
      <c r="N163" s="3">
        <v>10.62</v>
      </c>
      <c r="O163" s="3">
        <v>17.7</v>
      </c>
      <c r="P163" s="3">
        <v>38.700000000000003</v>
      </c>
      <c r="Q163" s="9">
        <f t="shared" ref="Q163:Q221" si="15">N163*(1-O163/100)/(1-0.12)</f>
        <v>9.9321136363636349</v>
      </c>
      <c r="R163" s="10">
        <f t="shared" ref="R163:R221" si="16">((10000*Q163*12%/2.205))/((4.66*16)/10.764)</f>
        <v>780.33686010494705</v>
      </c>
      <c r="S163" s="11">
        <f t="shared" ref="S163:S221" si="17">R163/1.121</f>
        <v>696.10781454500182</v>
      </c>
      <c r="T163" s="7">
        <v>68.900000000000006</v>
      </c>
      <c r="U163" s="7">
        <v>46.7</v>
      </c>
    </row>
    <row r="164" spans="1:21" x14ac:dyDescent="0.25">
      <c r="A164" s="4">
        <v>2023</v>
      </c>
      <c r="B164" s="3" t="s">
        <v>201</v>
      </c>
      <c r="C164" s="3" t="s">
        <v>202</v>
      </c>
      <c r="D164" s="3" t="s">
        <v>203</v>
      </c>
      <c r="E164" s="3" t="s">
        <v>204</v>
      </c>
      <c r="F164" s="3" t="s">
        <v>661</v>
      </c>
      <c r="G164" s="3">
        <v>103</v>
      </c>
      <c r="H164" s="3">
        <v>1</v>
      </c>
      <c r="I164" s="3">
        <v>3</v>
      </c>
      <c r="J164" s="3">
        <v>1</v>
      </c>
      <c r="K164" s="3">
        <v>6</v>
      </c>
      <c r="L164" s="2" t="s">
        <v>56</v>
      </c>
      <c r="M164" s="2" t="s">
        <v>53</v>
      </c>
      <c r="N164" s="3">
        <v>10.69</v>
      </c>
      <c r="O164" s="3">
        <v>17.7</v>
      </c>
      <c r="P164" s="3">
        <v>39.1</v>
      </c>
      <c r="Q164" s="9">
        <f t="shared" si="15"/>
        <v>9.9975795454545455</v>
      </c>
      <c r="R164" s="10">
        <f t="shared" si="16"/>
        <v>785.48032340130749</v>
      </c>
      <c r="S164" s="11">
        <f t="shared" si="17"/>
        <v>700.69609580848123</v>
      </c>
      <c r="T164" s="7">
        <v>69.400000000000006</v>
      </c>
      <c r="U164" s="7">
        <v>50.3</v>
      </c>
    </row>
    <row r="165" spans="1:21" x14ac:dyDescent="0.25">
      <c r="A165" s="4">
        <v>2023</v>
      </c>
      <c r="B165" s="3" t="s">
        <v>201</v>
      </c>
      <c r="C165" s="3" t="s">
        <v>202</v>
      </c>
      <c r="D165" s="3" t="s">
        <v>203</v>
      </c>
      <c r="E165" s="3" t="s">
        <v>204</v>
      </c>
      <c r="F165" s="3" t="s">
        <v>662</v>
      </c>
      <c r="G165" s="3">
        <v>104</v>
      </c>
      <c r="H165" s="3">
        <v>1</v>
      </c>
      <c r="I165" s="3">
        <v>4</v>
      </c>
      <c r="J165" s="3">
        <v>1</v>
      </c>
      <c r="K165" s="3">
        <v>3</v>
      </c>
      <c r="L165" s="2" t="s">
        <v>100</v>
      </c>
      <c r="M165" s="2" t="s">
        <v>53</v>
      </c>
      <c r="N165" s="3">
        <v>11.53</v>
      </c>
      <c r="O165" s="3">
        <v>21.2</v>
      </c>
      <c r="P165" s="3">
        <v>41.2</v>
      </c>
      <c r="Q165" s="9">
        <f t="shared" si="15"/>
        <v>10.324590909090908</v>
      </c>
      <c r="R165" s="10">
        <f t="shared" si="16"/>
        <v>811.17264127656506</v>
      </c>
      <c r="S165" s="11">
        <f t="shared" si="17"/>
        <v>723.61520185242205</v>
      </c>
      <c r="T165" s="7">
        <v>69.7</v>
      </c>
      <c r="U165" s="7">
        <v>47.1</v>
      </c>
    </row>
    <row r="166" spans="1:21" x14ac:dyDescent="0.25">
      <c r="A166" s="4">
        <v>2023</v>
      </c>
      <c r="B166" s="3" t="s">
        <v>201</v>
      </c>
      <c r="C166" s="3" t="s">
        <v>202</v>
      </c>
      <c r="D166" s="3" t="s">
        <v>203</v>
      </c>
      <c r="E166" s="3" t="s">
        <v>204</v>
      </c>
      <c r="F166" s="3" t="s">
        <v>663</v>
      </c>
      <c r="G166" s="3">
        <v>105</v>
      </c>
      <c r="H166" s="3">
        <v>1</v>
      </c>
      <c r="I166" s="3">
        <v>5</v>
      </c>
      <c r="J166" s="3">
        <v>1</v>
      </c>
      <c r="K166" s="3">
        <v>2</v>
      </c>
      <c r="L166" s="2" t="s">
        <v>100</v>
      </c>
      <c r="M166" s="2" t="s">
        <v>30</v>
      </c>
      <c r="N166" s="3">
        <v>12.37</v>
      </c>
      <c r="O166" s="3">
        <v>20.100000000000001</v>
      </c>
      <c r="P166" s="3">
        <v>38.700000000000003</v>
      </c>
      <c r="Q166" s="9">
        <f t="shared" si="15"/>
        <v>11.231397727272725</v>
      </c>
      <c r="R166" s="10">
        <f t="shared" si="16"/>
        <v>882.41777711865052</v>
      </c>
      <c r="S166" s="11">
        <f t="shared" si="17"/>
        <v>787.17018476240014</v>
      </c>
      <c r="T166" s="7">
        <v>69.400000000000006</v>
      </c>
      <c r="U166" s="7">
        <v>46.1</v>
      </c>
    </row>
    <row r="167" spans="1:21" x14ac:dyDescent="0.25">
      <c r="A167" s="4">
        <v>2023</v>
      </c>
      <c r="B167" s="3" t="s">
        <v>201</v>
      </c>
      <c r="C167" s="3" t="s">
        <v>202</v>
      </c>
      <c r="D167" s="3" t="s">
        <v>203</v>
      </c>
      <c r="E167" s="3" t="s">
        <v>204</v>
      </c>
      <c r="F167" s="3" t="s">
        <v>664</v>
      </c>
      <c r="G167" s="3">
        <v>106</v>
      </c>
      <c r="H167" s="3">
        <v>1</v>
      </c>
      <c r="I167" s="3">
        <v>6</v>
      </c>
      <c r="J167" s="3">
        <v>2</v>
      </c>
      <c r="K167" s="3">
        <v>9</v>
      </c>
      <c r="L167" s="2" t="s">
        <v>69</v>
      </c>
      <c r="M167" s="2" t="s">
        <v>53</v>
      </c>
      <c r="N167" s="3">
        <v>12.94</v>
      </c>
      <c r="O167" s="3">
        <v>18.399999999999999</v>
      </c>
      <c r="P167" s="3">
        <v>39.9</v>
      </c>
      <c r="Q167" s="9">
        <f t="shared" si="15"/>
        <v>11.998909090909091</v>
      </c>
      <c r="R167" s="10">
        <f t="shared" si="16"/>
        <v>942.7188801388678</v>
      </c>
      <c r="S167" s="11">
        <f t="shared" si="17"/>
        <v>840.96242652887406</v>
      </c>
      <c r="T167" s="7">
        <v>69.2</v>
      </c>
      <c r="U167" s="7">
        <v>45.1</v>
      </c>
    </row>
    <row r="168" spans="1:21" x14ac:dyDescent="0.25">
      <c r="A168" s="4">
        <v>2023</v>
      </c>
      <c r="B168" s="3" t="s">
        <v>201</v>
      </c>
      <c r="C168" s="3" t="s">
        <v>202</v>
      </c>
      <c r="D168" s="3" t="s">
        <v>203</v>
      </c>
      <c r="E168" s="3" t="s">
        <v>204</v>
      </c>
      <c r="F168" s="3" t="s">
        <v>665</v>
      </c>
      <c r="G168" s="3">
        <v>107</v>
      </c>
      <c r="H168" s="3">
        <v>1</v>
      </c>
      <c r="I168" s="3">
        <v>7</v>
      </c>
      <c r="J168" s="3">
        <v>2</v>
      </c>
      <c r="K168" s="3">
        <v>13</v>
      </c>
      <c r="L168" s="2" t="s">
        <v>87</v>
      </c>
      <c r="M168" s="2" t="s">
        <v>658</v>
      </c>
      <c r="N168" s="3">
        <v>10.31</v>
      </c>
      <c r="O168" s="3">
        <v>15.8</v>
      </c>
      <c r="P168" s="3">
        <v>36.200000000000003</v>
      </c>
      <c r="Q168" s="9">
        <f t="shared" si="15"/>
        <v>9.8647954545454546</v>
      </c>
      <c r="R168" s="10">
        <f t="shared" si="16"/>
        <v>775.04786920620757</v>
      </c>
      <c r="S168" s="11">
        <f t="shared" si="17"/>
        <v>691.38971383247781</v>
      </c>
      <c r="T168" s="7">
        <v>69</v>
      </c>
      <c r="U168" s="7">
        <v>30.8</v>
      </c>
    </row>
    <row r="169" spans="1:21" x14ac:dyDescent="0.25">
      <c r="A169" s="4">
        <v>2023</v>
      </c>
      <c r="B169" s="3" t="s">
        <v>201</v>
      </c>
      <c r="C169" s="3" t="s">
        <v>202</v>
      </c>
      <c r="D169" s="3" t="s">
        <v>203</v>
      </c>
      <c r="E169" s="3" t="s">
        <v>204</v>
      </c>
      <c r="F169" s="3" t="s">
        <v>666</v>
      </c>
      <c r="G169" s="3">
        <v>108</v>
      </c>
      <c r="H169" s="3">
        <v>1</v>
      </c>
      <c r="I169" s="3">
        <v>8</v>
      </c>
      <c r="J169" s="3">
        <v>2</v>
      </c>
      <c r="K169" s="3">
        <v>3</v>
      </c>
      <c r="L169" s="2" t="s">
        <v>100</v>
      </c>
      <c r="M169" s="2" t="s">
        <v>53</v>
      </c>
      <c r="N169" s="3">
        <v>13.44</v>
      </c>
      <c r="O169" s="3">
        <v>19.2</v>
      </c>
      <c r="P169" s="3">
        <v>40.5</v>
      </c>
      <c r="Q169" s="9">
        <f t="shared" si="15"/>
        <v>12.340363636363636</v>
      </c>
      <c r="R169" s="10">
        <f t="shared" si="16"/>
        <v>969.54595618973281</v>
      </c>
      <c r="S169" s="11">
        <f t="shared" si="17"/>
        <v>864.89380570002925</v>
      </c>
      <c r="T169" s="7">
        <v>70.400000000000006</v>
      </c>
      <c r="U169" s="7">
        <v>48.6</v>
      </c>
    </row>
    <row r="170" spans="1:21" x14ac:dyDescent="0.25">
      <c r="A170" s="4">
        <v>2023</v>
      </c>
      <c r="B170" s="3" t="s">
        <v>201</v>
      </c>
      <c r="C170" s="3" t="s">
        <v>202</v>
      </c>
      <c r="D170" s="3" t="s">
        <v>203</v>
      </c>
      <c r="E170" s="3" t="s">
        <v>204</v>
      </c>
      <c r="F170" s="3" t="s">
        <v>667</v>
      </c>
      <c r="G170" s="3">
        <v>109</v>
      </c>
      <c r="H170" s="3">
        <v>1</v>
      </c>
      <c r="I170" s="3">
        <v>9</v>
      </c>
      <c r="J170" s="3">
        <v>2</v>
      </c>
      <c r="K170" s="3">
        <v>10</v>
      </c>
      <c r="L170" s="2" t="s">
        <v>27</v>
      </c>
      <c r="M170" s="2" t="s">
        <v>658</v>
      </c>
      <c r="N170" s="3">
        <v>9.4700000000000006</v>
      </c>
      <c r="O170" s="3">
        <v>18.3</v>
      </c>
      <c r="P170" s="3">
        <v>39.5</v>
      </c>
      <c r="Q170" s="9">
        <f t="shared" si="15"/>
        <v>8.792034090909091</v>
      </c>
      <c r="R170" s="10">
        <f t="shared" si="16"/>
        <v>690.76417443684454</v>
      </c>
      <c r="S170" s="11">
        <f t="shared" si="17"/>
        <v>616.20354543875521</v>
      </c>
      <c r="T170" s="7">
        <v>73</v>
      </c>
      <c r="U170" s="7">
        <v>60.7</v>
      </c>
    </row>
    <row r="171" spans="1:21" x14ac:dyDescent="0.25">
      <c r="A171" s="4">
        <v>2023</v>
      </c>
      <c r="B171" s="3" t="s">
        <v>201</v>
      </c>
      <c r="C171" s="3" t="s">
        <v>202</v>
      </c>
      <c r="D171" s="3" t="s">
        <v>203</v>
      </c>
      <c r="E171" s="3" t="s">
        <v>204</v>
      </c>
      <c r="F171" s="3" t="s">
        <v>668</v>
      </c>
      <c r="G171" s="3">
        <v>110</v>
      </c>
      <c r="H171" s="3">
        <v>1</v>
      </c>
      <c r="I171" s="3">
        <v>10</v>
      </c>
      <c r="J171" s="3">
        <v>2</v>
      </c>
      <c r="K171" s="3">
        <v>2</v>
      </c>
      <c r="L171" s="2" t="s">
        <v>100</v>
      </c>
      <c r="M171" s="2" t="s">
        <v>30</v>
      </c>
      <c r="N171" s="3">
        <v>12.81</v>
      </c>
      <c r="O171" s="3">
        <v>18.5</v>
      </c>
      <c r="P171" s="3">
        <v>40.5</v>
      </c>
      <c r="Q171" s="9">
        <f t="shared" si="15"/>
        <v>11.863806818181818</v>
      </c>
      <c r="R171" s="10">
        <f t="shared" si="16"/>
        <v>932.10429323894971</v>
      </c>
      <c r="S171" s="11">
        <f t="shared" si="17"/>
        <v>831.49357113198016</v>
      </c>
      <c r="T171" s="7">
        <v>70.2</v>
      </c>
      <c r="U171" s="7">
        <v>46.7</v>
      </c>
    </row>
    <row r="172" spans="1:21" x14ac:dyDescent="0.25">
      <c r="A172" s="4">
        <v>2023</v>
      </c>
      <c r="B172" s="3" t="s">
        <v>201</v>
      </c>
      <c r="C172" s="3" t="s">
        <v>202</v>
      </c>
      <c r="D172" s="3" t="s">
        <v>203</v>
      </c>
      <c r="E172" s="3" t="s">
        <v>204</v>
      </c>
      <c r="F172" s="3" t="s">
        <v>669</v>
      </c>
      <c r="G172" s="3">
        <v>111</v>
      </c>
      <c r="H172" s="3">
        <v>1</v>
      </c>
      <c r="I172" s="3">
        <v>11</v>
      </c>
      <c r="J172" s="3">
        <v>3</v>
      </c>
      <c r="K172" s="3">
        <v>1</v>
      </c>
      <c r="L172" s="2" t="s">
        <v>100</v>
      </c>
      <c r="M172" s="2" t="s">
        <v>658</v>
      </c>
      <c r="N172" s="3">
        <v>11.44</v>
      </c>
      <c r="O172" s="3">
        <v>18</v>
      </c>
      <c r="P172" s="3">
        <v>38.5</v>
      </c>
      <c r="Q172" s="9">
        <f t="shared" si="15"/>
        <v>10.66</v>
      </c>
      <c r="R172" s="10">
        <f t="shared" si="16"/>
        <v>837.52474380310059</v>
      </c>
      <c r="S172" s="11">
        <f t="shared" si="17"/>
        <v>747.12287582792203</v>
      </c>
      <c r="T172" s="7">
        <v>68.599999999999994</v>
      </c>
      <c r="U172" s="7">
        <v>40.6</v>
      </c>
    </row>
    <row r="173" spans="1:21" x14ac:dyDescent="0.25">
      <c r="A173" s="4">
        <v>2023</v>
      </c>
      <c r="B173" s="3" t="s">
        <v>201</v>
      </c>
      <c r="C173" s="3" t="s">
        <v>202</v>
      </c>
      <c r="D173" s="3" t="s">
        <v>203</v>
      </c>
      <c r="E173" s="3" t="s">
        <v>204</v>
      </c>
      <c r="F173" s="3" t="s">
        <v>670</v>
      </c>
      <c r="G173" s="3">
        <v>112</v>
      </c>
      <c r="H173" s="3">
        <v>1</v>
      </c>
      <c r="I173" s="3">
        <v>12</v>
      </c>
      <c r="J173" s="3">
        <v>3</v>
      </c>
      <c r="K173" s="3">
        <v>9</v>
      </c>
      <c r="L173" s="2" t="s">
        <v>69</v>
      </c>
      <c r="M173" s="2" t="s">
        <v>53</v>
      </c>
      <c r="N173" s="3">
        <v>12.48</v>
      </c>
      <c r="O173" s="3">
        <v>18.100000000000001</v>
      </c>
      <c r="P173" s="3">
        <v>40</v>
      </c>
      <c r="Q173" s="9">
        <f t="shared" si="15"/>
        <v>11.614909090909089</v>
      </c>
      <c r="R173" s="10">
        <f t="shared" si="16"/>
        <v>912.54913327016311</v>
      </c>
      <c r="S173" s="11">
        <f t="shared" si="17"/>
        <v>814.04918222137655</v>
      </c>
      <c r="T173" s="7">
        <v>68.7</v>
      </c>
      <c r="U173" s="7">
        <v>46.3</v>
      </c>
    </row>
    <row r="174" spans="1:21" x14ac:dyDescent="0.25">
      <c r="A174" s="4">
        <v>2023</v>
      </c>
      <c r="B174" s="3" t="s">
        <v>201</v>
      </c>
      <c r="C174" s="3" t="s">
        <v>202</v>
      </c>
      <c r="D174" s="3" t="s">
        <v>203</v>
      </c>
      <c r="E174" s="3" t="s">
        <v>204</v>
      </c>
      <c r="F174" s="3" t="s">
        <v>671</v>
      </c>
      <c r="G174" s="3">
        <v>113</v>
      </c>
      <c r="H174" s="3">
        <v>1</v>
      </c>
      <c r="I174" s="3">
        <v>13</v>
      </c>
      <c r="J174" s="3">
        <v>3</v>
      </c>
      <c r="K174" s="3">
        <v>20</v>
      </c>
      <c r="L174" s="2" t="s">
        <v>82</v>
      </c>
      <c r="M174" s="2" t="s">
        <v>658</v>
      </c>
      <c r="N174" s="3">
        <v>11.45</v>
      </c>
      <c r="O174" s="3">
        <v>19.2</v>
      </c>
      <c r="P174" s="3">
        <v>38.700000000000003</v>
      </c>
      <c r="Q174" s="9">
        <f t="shared" si="15"/>
        <v>10.513181818181819</v>
      </c>
      <c r="R174" s="10">
        <f t="shared" si="16"/>
        <v>825.98967249794964</v>
      </c>
      <c r="S174" s="11">
        <f t="shared" si="17"/>
        <v>736.83289250486143</v>
      </c>
      <c r="T174" s="7">
        <v>70.2</v>
      </c>
      <c r="U174" s="7">
        <v>54</v>
      </c>
    </row>
    <row r="175" spans="1:21" x14ac:dyDescent="0.25">
      <c r="A175" s="4">
        <v>2023</v>
      </c>
      <c r="B175" s="3" t="s">
        <v>201</v>
      </c>
      <c r="C175" s="3" t="s">
        <v>202</v>
      </c>
      <c r="D175" s="3" t="s">
        <v>203</v>
      </c>
      <c r="E175" s="3" t="s">
        <v>204</v>
      </c>
      <c r="F175" s="3" t="s">
        <v>672</v>
      </c>
      <c r="G175" s="3">
        <v>114</v>
      </c>
      <c r="H175" s="3">
        <v>1</v>
      </c>
      <c r="I175" s="3">
        <v>14</v>
      </c>
      <c r="J175" s="3">
        <v>3</v>
      </c>
      <c r="K175" s="3">
        <v>16</v>
      </c>
      <c r="L175" s="2" t="s">
        <v>42</v>
      </c>
      <c r="M175" s="2" t="s">
        <v>658</v>
      </c>
      <c r="N175" s="3">
        <v>9.8699999999999992</v>
      </c>
      <c r="O175" s="3">
        <v>18.3</v>
      </c>
      <c r="P175" s="3">
        <v>39.200000000000003</v>
      </c>
      <c r="Q175" s="9">
        <f t="shared" si="15"/>
        <v>9.1633977272727254</v>
      </c>
      <c r="R175" s="10">
        <f t="shared" si="16"/>
        <v>719.94111950281444</v>
      </c>
      <c r="S175" s="11">
        <f t="shared" si="17"/>
        <v>642.23115031473185</v>
      </c>
      <c r="T175" s="7">
        <v>70.099999999999994</v>
      </c>
      <c r="U175" s="7">
        <v>60.2</v>
      </c>
    </row>
    <row r="176" spans="1:21" x14ac:dyDescent="0.25">
      <c r="A176" s="4">
        <v>2023</v>
      </c>
      <c r="B176" s="3" t="s">
        <v>201</v>
      </c>
      <c r="C176" s="3" t="s">
        <v>202</v>
      </c>
      <c r="D176" s="3" t="s">
        <v>203</v>
      </c>
      <c r="E176" s="3" t="s">
        <v>204</v>
      </c>
      <c r="F176" s="3" t="s">
        <v>673</v>
      </c>
      <c r="G176" s="3">
        <v>115</v>
      </c>
      <c r="H176" s="3">
        <v>1</v>
      </c>
      <c r="I176" s="3">
        <v>15</v>
      </c>
      <c r="J176" s="3">
        <v>3</v>
      </c>
      <c r="K176" s="3">
        <v>13</v>
      </c>
      <c r="L176" s="2" t="s">
        <v>87</v>
      </c>
      <c r="M176" s="2" t="s">
        <v>658</v>
      </c>
      <c r="N176" s="3">
        <v>10.220000000000001</v>
      </c>
      <c r="O176" s="3">
        <v>14.2</v>
      </c>
      <c r="P176" s="3">
        <v>36</v>
      </c>
      <c r="Q176" s="9">
        <f t="shared" si="15"/>
        <v>9.964500000000001</v>
      </c>
      <c r="R176" s="10">
        <f t="shared" si="16"/>
        <v>782.8813611281422</v>
      </c>
      <c r="S176" s="11">
        <f t="shared" si="17"/>
        <v>698.37766380744176</v>
      </c>
      <c r="T176" s="7">
        <v>69.2</v>
      </c>
      <c r="U176" s="7">
        <v>29.7</v>
      </c>
    </row>
    <row r="177" spans="1:21" x14ac:dyDescent="0.25">
      <c r="A177" s="4">
        <v>2023</v>
      </c>
      <c r="B177" s="3" t="s">
        <v>201</v>
      </c>
      <c r="C177" s="3" t="s">
        <v>202</v>
      </c>
      <c r="D177" s="3" t="s">
        <v>203</v>
      </c>
      <c r="E177" s="3" t="s">
        <v>204</v>
      </c>
      <c r="F177" s="3" t="s">
        <v>674</v>
      </c>
      <c r="G177" s="3">
        <v>201</v>
      </c>
      <c r="H177" s="3">
        <v>2</v>
      </c>
      <c r="I177" s="3">
        <v>1</v>
      </c>
      <c r="J177" s="3">
        <v>1</v>
      </c>
      <c r="K177" s="3">
        <v>11</v>
      </c>
      <c r="L177" s="2" t="s">
        <v>27</v>
      </c>
      <c r="M177" s="2" t="s">
        <v>30</v>
      </c>
      <c r="N177" s="3">
        <v>5.54</v>
      </c>
      <c r="O177" s="3">
        <v>18.100000000000001</v>
      </c>
      <c r="P177" s="3">
        <v>34.9</v>
      </c>
      <c r="Q177" s="9">
        <f t="shared" si="15"/>
        <v>5.1559772727272728</v>
      </c>
      <c r="R177" s="10">
        <f t="shared" si="16"/>
        <v>405.08991973691542</v>
      </c>
      <c r="S177" s="11">
        <f t="shared" si="17"/>
        <v>361.36478121045087</v>
      </c>
      <c r="T177" s="7">
        <v>69.7</v>
      </c>
      <c r="U177" s="7">
        <v>53.7</v>
      </c>
    </row>
    <row r="178" spans="1:21" x14ac:dyDescent="0.25">
      <c r="A178" s="4">
        <v>2023</v>
      </c>
      <c r="B178" s="3" t="s">
        <v>201</v>
      </c>
      <c r="C178" s="3" t="s">
        <v>202</v>
      </c>
      <c r="D178" s="3" t="s">
        <v>203</v>
      </c>
      <c r="E178" s="3" t="s">
        <v>204</v>
      </c>
      <c r="F178" s="3" t="s">
        <v>675</v>
      </c>
      <c r="G178" s="3">
        <v>202</v>
      </c>
      <c r="H178" s="3">
        <v>2</v>
      </c>
      <c r="I178" s="3">
        <v>2</v>
      </c>
      <c r="J178" s="3">
        <v>1</v>
      </c>
      <c r="K178" s="3">
        <v>5</v>
      </c>
      <c r="L178" s="2" t="s">
        <v>56</v>
      </c>
      <c r="M178" s="2" t="s">
        <v>30</v>
      </c>
      <c r="N178" s="3">
        <v>10.46</v>
      </c>
      <c r="O178" s="3">
        <v>18.399999999999999</v>
      </c>
      <c r="P178" s="3">
        <v>40.6</v>
      </c>
      <c r="Q178" s="9">
        <f t="shared" si="15"/>
        <v>9.6992727272727279</v>
      </c>
      <c r="R178" s="10">
        <f t="shared" si="16"/>
        <v>762.04323695923938</v>
      </c>
      <c r="S178" s="11">
        <f t="shared" si="17"/>
        <v>679.78879300556594</v>
      </c>
      <c r="T178" s="7">
        <v>69.099999999999994</v>
      </c>
      <c r="U178" s="7">
        <v>49.5</v>
      </c>
    </row>
    <row r="179" spans="1:21" x14ac:dyDescent="0.25">
      <c r="A179" s="4">
        <v>2023</v>
      </c>
      <c r="B179" s="3" t="s">
        <v>201</v>
      </c>
      <c r="C179" s="3" t="s">
        <v>202</v>
      </c>
      <c r="D179" s="3" t="s">
        <v>203</v>
      </c>
      <c r="E179" s="3" t="s">
        <v>204</v>
      </c>
      <c r="F179" s="3" t="s">
        <v>676</v>
      </c>
      <c r="G179" s="3">
        <v>203</v>
      </c>
      <c r="H179" s="3">
        <v>2</v>
      </c>
      <c r="I179" s="3">
        <v>3</v>
      </c>
      <c r="J179" s="3">
        <v>1</v>
      </c>
      <c r="K179" s="3">
        <v>16</v>
      </c>
      <c r="L179" s="2" t="s">
        <v>42</v>
      </c>
      <c r="M179" s="2" t="s">
        <v>658</v>
      </c>
      <c r="N179" s="3">
        <v>8.26</v>
      </c>
      <c r="O179" s="3">
        <v>19.3</v>
      </c>
      <c r="P179" s="3">
        <v>37.6</v>
      </c>
      <c r="Q179" s="9">
        <f t="shared" si="15"/>
        <v>7.5747954545454537</v>
      </c>
      <c r="R179" s="10">
        <f t="shared" si="16"/>
        <v>595.12932668190172</v>
      </c>
      <c r="S179" s="11">
        <f t="shared" si="17"/>
        <v>530.8914600195377</v>
      </c>
      <c r="T179" s="7">
        <v>69</v>
      </c>
      <c r="U179" s="7">
        <v>57.3</v>
      </c>
    </row>
    <row r="180" spans="1:21" x14ac:dyDescent="0.25">
      <c r="A180" s="4">
        <v>2023</v>
      </c>
      <c r="B180" s="3" t="s">
        <v>201</v>
      </c>
      <c r="C180" s="3" t="s">
        <v>202</v>
      </c>
      <c r="D180" s="3" t="s">
        <v>203</v>
      </c>
      <c r="E180" s="3" t="s">
        <v>204</v>
      </c>
      <c r="F180" s="3" t="s">
        <v>677</v>
      </c>
      <c r="G180" s="3">
        <v>204</v>
      </c>
      <c r="H180" s="3">
        <v>2</v>
      </c>
      <c r="I180" s="3">
        <v>4</v>
      </c>
      <c r="J180" s="3">
        <v>1</v>
      </c>
      <c r="K180" s="3">
        <v>15</v>
      </c>
      <c r="L180" s="2" t="s">
        <v>87</v>
      </c>
      <c r="M180" s="2" t="s">
        <v>53</v>
      </c>
      <c r="N180" s="3">
        <v>8.73</v>
      </c>
      <c r="O180" s="3">
        <v>18.3</v>
      </c>
      <c r="P180" s="3">
        <v>36.4</v>
      </c>
      <c r="Q180" s="9">
        <f t="shared" si="15"/>
        <v>8.105011363636363</v>
      </c>
      <c r="R180" s="10">
        <f t="shared" si="16"/>
        <v>636.78682606479958</v>
      </c>
      <c r="S180" s="11">
        <f t="shared" si="17"/>
        <v>568.05247641819767</v>
      </c>
      <c r="T180" s="7">
        <v>69</v>
      </c>
      <c r="U180" s="7">
        <v>29.9</v>
      </c>
    </row>
    <row r="181" spans="1:21" x14ac:dyDescent="0.25">
      <c r="A181" s="4">
        <v>2023</v>
      </c>
      <c r="B181" s="3" t="s">
        <v>201</v>
      </c>
      <c r="C181" s="3" t="s">
        <v>202</v>
      </c>
      <c r="D181" s="3" t="s">
        <v>203</v>
      </c>
      <c r="E181" s="3" t="s">
        <v>204</v>
      </c>
      <c r="F181" s="3" t="s">
        <v>678</v>
      </c>
      <c r="G181" s="3">
        <v>205</v>
      </c>
      <c r="H181" s="3">
        <v>2</v>
      </c>
      <c r="I181" s="3">
        <v>5</v>
      </c>
      <c r="J181" s="3">
        <v>1</v>
      </c>
      <c r="K181" s="3">
        <v>20</v>
      </c>
      <c r="L181" s="2" t="s">
        <v>82</v>
      </c>
      <c r="M181" s="2" t="s">
        <v>658</v>
      </c>
      <c r="N181" s="3">
        <v>11.05</v>
      </c>
      <c r="O181" s="3">
        <v>19.899999999999999</v>
      </c>
      <c r="P181" s="3">
        <v>39.299999999999997</v>
      </c>
      <c r="Q181" s="9">
        <f t="shared" si="15"/>
        <v>10.058011363636364</v>
      </c>
      <c r="R181" s="10">
        <f t="shared" si="16"/>
        <v>790.22827302985183</v>
      </c>
      <c r="S181" s="11">
        <f t="shared" si="17"/>
        <v>704.93155488836021</v>
      </c>
      <c r="T181" s="7">
        <v>69.400000000000006</v>
      </c>
      <c r="U181" s="7">
        <v>52.7</v>
      </c>
    </row>
    <row r="182" spans="1:21" x14ac:dyDescent="0.25">
      <c r="A182" s="4">
        <v>2023</v>
      </c>
      <c r="B182" s="3" t="s">
        <v>201</v>
      </c>
      <c r="C182" s="3" t="s">
        <v>202</v>
      </c>
      <c r="D182" s="3" t="s">
        <v>203</v>
      </c>
      <c r="E182" s="3" t="s">
        <v>204</v>
      </c>
      <c r="F182" s="3" t="s">
        <v>679</v>
      </c>
      <c r="G182" s="3">
        <v>206</v>
      </c>
      <c r="H182" s="3">
        <v>2</v>
      </c>
      <c r="I182" s="3">
        <v>6</v>
      </c>
      <c r="J182" s="3">
        <v>2</v>
      </c>
      <c r="K182" s="3">
        <v>14</v>
      </c>
      <c r="L182" s="2" t="s">
        <v>87</v>
      </c>
      <c r="M182" s="2" t="s">
        <v>30</v>
      </c>
      <c r="N182" s="3">
        <v>10.050000000000001</v>
      </c>
      <c r="O182" s="3">
        <v>16.7</v>
      </c>
      <c r="P182" s="3">
        <v>37.1</v>
      </c>
      <c r="Q182" s="9">
        <f t="shared" si="15"/>
        <v>9.5132386363636368</v>
      </c>
      <c r="R182" s="10">
        <f t="shared" si="16"/>
        <v>747.42708739758086</v>
      </c>
      <c r="S182" s="11">
        <f t="shared" si="17"/>
        <v>666.75030097910872</v>
      </c>
      <c r="T182" s="7">
        <v>68.7</v>
      </c>
      <c r="U182" s="7">
        <v>32.4</v>
      </c>
    </row>
    <row r="183" spans="1:21" x14ac:dyDescent="0.25">
      <c r="A183" s="4">
        <v>2023</v>
      </c>
      <c r="B183" s="3" t="s">
        <v>201</v>
      </c>
      <c r="C183" s="3" t="s">
        <v>202</v>
      </c>
      <c r="D183" s="3" t="s">
        <v>203</v>
      </c>
      <c r="E183" s="3" t="s">
        <v>204</v>
      </c>
      <c r="F183" s="3" t="s">
        <v>680</v>
      </c>
      <c r="G183" s="3">
        <v>207</v>
      </c>
      <c r="H183" s="3">
        <v>2</v>
      </c>
      <c r="I183" s="3">
        <v>7</v>
      </c>
      <c r="J183" s="3">
        <v>2</v>
      </c>
      <c r="K183" s="3">
        <v>6</v>
      </c>
      <c r="L183" s="2" t="s">
        <v>56</v>
      </c>
      <c r="M183" s="2" t="s">
        <v>53</v>
      </c>
      <c r="N183" s="3">
        <v>10.96</v>
      </c>
      <c r="O183" s="3">
        <v>18</v>
      </c>
      <c r="P183" s="3">
        <v>40.6</v>
      </c>
      <c r="Q183" s="9">
        <f t="shared" si="15"/>
        <v>10.212727272727275</v>
      </c>
      <c r="R183" s="10">
        <f t="shared" si="16"/>
        <v>802.38384546171187</v>
      </c>
      <c r="S183" s="11">
        <f t="shared" si="17"/>
        <v>715.77506285612117</v>
      </c>
      <c r="T183" s="7">
        <v>69</v>
      </c>
      <c r="U183" s="7">
        <v>48.7</v>
      </c>
    </row>
    <row r="184" spans="1:21" x14ac:dyDescent="0.25">
      <c r="A184" s="4">
        <v>2023</v>
      </c>
      <c r="B184" s="3" t="s">
        <v>201</v>
      </c>
      <c r="C184" s="3" t="s">
        <v>202</v>
      </c>
      <c r="D184" s="3" t="s">
        <v>203</v>
      </c>
      <c r="E184" s="3" t="s">
        <v>204</v>
      </c>
      <c r="F184" s="3" t="s">
        <v>205</v>
      </c>
      <c r="G184" s="3">
        <v>208</v>
      </c>
      <c r="H184" s="3">
        <v>2</v>
      </c>
      <c r="I184" s="3">
        <v>8</v>
      </c>
      <c r="J184" s="3">
        <v>2</v>
      </c>
      <c r="K184" s="3">
        <v>1</v>
      </c>
      <c r="L184" s="2" t="s">
        <v>100</v>
      </c>
      <c r="M184" s="2" t="s">
        <v>658</v>
      </c>
      <c r="N184" s="3">
        <v>11.74</v>
      </c>
      <c r="O184" s="3">
        <v>19.899999999999999</v>
      </c>
      <c r="P184" s="3">
        <v>39.6</v>
      </c>
      <c r="Q184" s="9">
        <f t="shared" si="15"/>
        <v>10.686068181818182</v>
      </c>
      <c r="R184" s="10">
        <f t="shared" si="16"/>
        <v>839.57284392492852</v>
      </c>
      <c r="S184" s="11">
        <f t="shared" si="17"/>
        <v>748.94990537460171</v>
      </c>
      <c r="T184" s="7">
        <v>69.3</v>
      </c>
      <c r="U184" s="7">
        <v>42</v>
      </c>
    </row>
    <row r="185" spans="1:21" x14ac:dyDescent="0.25">
      <c r="A185" s="4">
        <v>2023</v>
      </c>
      <c r="B185" s="3" t="s">
        <v>201</v>
      </c>
      <c r="C185" s="3" t="s">
        <v>202</v>
      </c>
      <c r="D185" s="3" t="s">
        <v>203</v>
      </c>
      <c r="E185" s="3" t="s">
        <v>204</v>
      </c>
      <c r="F185" s="3" t="s">
        <v>206</v>
      </c>
      <c r="G185" s="3">
        <v>209</v>
      </c>
      <c r="H185" s="3">
        <v>2</v>
      </c>
      <c r="I185" s="3">
        <v>9</v>
      </c>
      <c r="J185" s="3">
        <v>2</v>
      </c>
      <c r="K185" s="3">
        <v>11</v>
      </c>
      <c r="L185" s="2" t="s">
        <v>27</v>
      </c>
      <c r="M185" s="2" t="s">
        <v>30</v>
      </c>
      <c r="N185" s="3">
        <v>8.26</v>
      </c>
      <c r="O185" s="3">
        <v>20.3</v>
      </c>
      <c r="P185" s="3">
        <v>41.7</v>
      </c>
      <c r="Q185" s="9">
        <f t="shared" si="15"/>
        <v>7.4809318181818174</v>
      </c>
      <c r="R185" s="10">
        <f t="shared" si="16"/>
        <v>587.75473775151875</v>
      </c>
      <c r="S185" s="11">
        <f t="shared" si="17"/>
        <v>524.31287935015052</v>
      </c>
      <c r="T185" s="7">
        <v>72.900000000000006</v>
      </c>
      <c r="U185" s="7">
        <v>61.9</v>
      </c>
    </row>
    <row r="186" spans="1:21" x14ac:dyDescent="0.25">
      <c r="A186" s="4">
        <v>2023</v>
      </c>
      <c r="B186" s="3" t="s">
        <v>201</v>
      </c>
      <c r="C186" s="3" t="s">
        <v>202</v>
      </c>
      <c r="D186" s="3" t="s">
        <v>203</v>
      </c>
      <c r="E186" s="3" t="s">
        <v>204</v>
      </c>
      <c r="F186" s="3" t="s">
        <v>207</v>
      </c>
      <c r="G186" s="3">
        <v>210</v>
      </c>
      <c r="H186" s="3">
        <v>2</v>
      </c>
      <c r="I186" s="3">
        <v>10</v>
      </c>
      <c r="J186" s="3">
        <v>2</v>
      </c>
      <c r="K186" s="3">
        <v>12</v>
      </c>
      <c r="L186" s="2" t="s">
        <v>27</v>
      </c>
      <c r="M186" s="2" t="s">
        <v>53</v>
      </c>
      <c r="N186" s="3">
        <v>8.4700000000000006</v>
      </c>
      <c r="O186" s="3">
        <v>21.4</v>
      </c>
      <c r="P186" s="3">
        <v>41.8</v>
      </c>
      <c r="Q186" s="9">
        <f t="shared" si="15"/>
        <v>7.5652500000000007</v>
      </c>
      <c r="R186" s="10">
        <f t="shared" si="16"/>
        <v>594.37936848559161</v>
      </c>
      <c r="S186" s="11">
        <f t="shared" si="17"/>
        <v>530.22245181587118</v>
      </c>
      <c r="T186" s="7">
        <v>73</v>
      </c>
      <c r="U186" s="7">
        <v>63.3</v>
      </c>
    </row>
    <row r="187" spans="1:21" x14ac:dyDescent="0.25">
      <c r="A187" s="4">
        <v>2023</v>
      </c>
      <c r="B187" s="3" t="s">
        <v>201</v>
      </c>
      <c r="C187" s="3" t="s">
        <v>202</v>
      </c>
      <c r="D187" s="3" t="s">
        <v>203</v>
      </c>
      <c r="E187" s="3" t="s">
        <v>204</v>
      </c>
      <c r="F187" s="3" t="s">
        <v>208</v>
      </c>
      <c r="G187" s="3">
        <v>211</v>
      </c>
      <c r="H187" s="3">
        <v>2</v>
      </c>
      <c r="I187" s="3">
        <v>11</v>
      </c>
      <c r="J187" s="3">
        <v>3</v>
      </c>
      <c r="K187" s="3">
        <v>3</v>
      </c>
      <c r="L187" s="2" t="s">
        <v>100</v>
      </c>
      <c r="M187" s="2" t="s">
        <v>53</v>
      </c>
      <c r="N187" s="3">
        <v>11.64</v>
      </c>
      <c r="O187" s="3">
        <v>18.600000000000001</v>
      </c>
      <c r="P187" s="3">
        <v>38.299999999999997</v>
      </c>
      <c r="Q187" s="9">
        <f t="shared" si="15"/>
        <v>10.766999999999999</v>
      </c>
      <c r="R187" s="10">
        <f t="shared" si="16"/>
        <v>845.93141806078654</v>
      </c>
      <c r="S187" s="11">
        <f t="shared" si="17"/>
        <v>754.62213921568821</v>
      </c>
      <c r="T187" s="7">
        <v>69.900000000000006</v>
      </c>
      <c r="U187" s="7">
        <v>46.7</v>
      </c>
    </row>
    <row r="188" spans="1:21" x14ac:dyDescent="0.25">
      <c r="A188" s="4">
        <v>2023</v>
      </c>
      <c r="B188" s="3" t="s">
        <v>201</v>
      </c>
      <c r="C188" s="3" t="s">
        <v>202</v>
      </c>
      <c r="D188" s="3" t="s">
        <v>203</v>
      </c>
      <c r="E188" s="3" t="s">
        <v>204</v>
      </c>
      <c r="F188" s="3" t="s">
        <v>209</v>
      </c>
      <c r="G188" s="3">
        <v>212</v>
      </c>
      <c r="H188" s="3">
        <v>2</v>
      </c>
      <c r="I188" s="3">
        <v>12</v>
      </c>
      <c r="J188" s="3">
        <v>3</v>
      </c>
      <c r="K188" s="3">
        <v>2</v>
      </c>
      <c r="L188" s="2" t="s">
        <v>100</v>
      </c>
      <c r="M188" s="2" t="s">
        <v>30</v>
      </c>
      <c r="N188" s="3">
        <v>11.19</v>
      </c>
      <c r="O188" s="3">
        <v>18.100000000000001</v>
      </c>
      <c r="P188" s="3">
        <v>39.200000000000003</v>
      </c>
      <c r="Q188" s="9">
        <f t="shared" si="15"/>
        <v>10.414329545454546</v>
      </c>
      <c r="R188" s="10">
        <f t="shared" si="16"/>
        <v>818.22314112925699</v>
      </c>
      <c r="S188" s="11">
        <f t="shared" si="17"/>
        <v>729.90467540522479</v>
      </c>
      <c r="T188" s="7">
        <v>68.8</v>
      </c>
      <c r="U188" s="7">
        <v>42.1</v>
      </c>
    </row>
    <row r="189" spans="1:21" x14ac:dyDescent="0.25">
      <c r="A189" s="4">
        <v>2023</v>
      </c>
      <c r="B189" s="3" t="s">
        <v>201</v>
      </c>
      <c r="C189" s="3" t="s">
        <v>202</v>
      </c>
      <c r="D189" s="3" t="s">
        <v>203</v>
      </c>
      <c r="E189" s="3" t="s">
        <v>204</v>
      </c>
      <c r="F189" s="3" t="s">
        <v>210</v>
      </c>
      <c r="G189" s="3">
        <v>213</v>
      </c>
      <c r="H189" s="3">
        <v>2</v>
      </c>
      <c r="I189" s="3">
        <v>13</v>
      </c>
      <c r="J189" s="3">
        <v>3</v>
      </c>
      <c r="K189" s="3">
        <v>4</v>
      </c>
      <c r="L189" s="2" t="s">
        <v>56</v>
      </c>
      <c r="M189" s="2" t="s">
        <v>658</v>
      </c>
      <c r="N189" s="3">
        <v>10.52</v>
      </c>
      <c r="O189" s="3">
        <v>16.5</v>
      </c>
      <c r="P189" s="3">
        <v>39.5</v>
      </c>
      <c r="Q189" s="9">
        <f t="shared" si="15"/>
        <v>9.9820454545454531</v>
      </c>
      <c r="R189" s="10">
        <f t="shared" si="16"/>
        <v>784.25985571755018</v>
      </c>
      <c r="S189" s="11">
        <f t="shared" si="17"/>
        <v>699.60736460084763</v>
      </c>
      <c r="T189" s="7">
        <v>69.400000000000006</v>
      </c>
      <c r="U189" s="7">
        <v>45.4</v>
      </c>
    </row>
    <row r="190" spans="1:21" x14ac:dyDescent="0.25">
      <c r="A190" s="4">
        <v>2023</v>
      </c>
      <c r="B190" s="3" t="s">
        <v>201</v>
      </c>
      <c r="C190" s="3" t="s">
        <v>202</v>
      </c>
      <c r="D190" s="3" t="s">
        <v>203</v>
      </c>
      <c r="E190" s="3" t="s">
        <v>204</v>
      </c>
      <c r="F190" s="3" t="s">
        <v>211</v>
      </c>
      <c r="G190" s="3">
        <v>214</v>
      </c>
      <c r="H190" s="3">
        <v>2</v>
      </c>
      <c r="I190" s="3">
        <v>14</v>
      </c>
      <c r="J190" s="3">
        <v>3</v>
      </c>
      <c r="K190" s="3">
        <v>5</v>
      </c>
      <c r="L190" s="2" t="s">
        <v>56</v>
      </c>
      <c r="M190" s="2" t="s">
        <v>30</v>
      </c>
      <c r="N190" s="3">
        <v>10.48</v>
      </c>
      <c r="O190" s="3">
        <v>17.7</v>
      </c>
      <c r="P190" s="3">
        <v>41.3</v>
      </c>
      <c r="Q190" s="9">
        <f t="shared" si="15"/>
        <v>9.8011818181818189</v>
      </c>
      <c r="R190" s="10">
        <f t="shared" si="16"/>
        <v>770.04993351222652</v>
      </c>
      <c r="S190" s="11">
        <f t="shared" si="17"/>
        <v>686.93125201804332</v>
      </c>
      <c r="T190" s="7">
        <v>70</v>
      </c>
      <c r="U190" s="7">
        <v>52.9</v>
      </c>
    </row>
    <row r="191" spans="1:21" x14ac:dyDescent="0.25">
      <c r="A191" s="4">
        <v>2023</v>
      </c>
      <c r="B191" s="3" t="s">
        <v>201</v>
      </c>
      <c r="C191" s="3" t="s">
        <v>202</v>
      </c>
      <c r="D191" s="3" t="s">
        <v>203</v>
      </c>
      <c r="E191" s="3" t="s">
        <v>204</v>
      </c>
      <c r="F191" s="3" t="s">
        <v>212</v>
      </c>
      <c r="G191" s="3">
        <v>215</v>
      </c>
      <c r="H191" s="3">
        <v>2</v>
      </c>
      <c r="I191" s="3">
        <v>15</v>
      </c>
      <c r="J191" s="3">
        <v>3</v>
      </c>
      <c r="K191" s="3">
        <v>8</v>
      </c>
      <c r="L191" s="2" t="s">
        <v>69</v>
      </c>
      <c r="M191" s="2" t="s">
        <v>30</v>
      </c>
      <c r="N191" s="3">
        <v>12.87</v>
      </c>
      <c r="O191" s="3">
        <v>16.8</v>
      </c>
      <c r="P191" s="3">
        <v>38.799999999999997</v>
      </c>
      <c r="Q191" s="9">
        <f t="shared" si="15"/>
        <v>12.167999999999999</v>
      </c>
      <c r="R191" s="10">
        <f t="shared" si="16"/>
        <v>956.00385390207578</v>
      </c>
      <c r="S191" s="11">
        <f t="shared" si="17"/>
        <v>852.81342899382321</v>
      </c>
      <c r="T191" s="7">
        <v>67.7</v>
      </c>
      <c r="U191" s="7">
        <v>39.299999999999997</v>
      </c>
    </row>
    <row r="192" spans="1:21" x14ac:dyDescent="0.25">
      <c r="A192" s="4">
        <v>2023</v>
      </c>
      <c r="B192" s="3" t="s">
        <v>201</v>
      </c>
      <c r="C192" s="3" t="s">
        <v>202</v>
      </c>
      <c r="D192" s="3" t="s">
        <v>203</v>
      </c>
      <c r="E192" s="3" t="s">
        <v>204</v>
      </c>
      <c r="F192" s="3" t="s">
        <v>213</v>
      </c>
      <c r="G192" s="3">
        <v>301</v>
      </c>
      <c r="H192" s="3">
        <v>3</v>
      </c>
      <c r="I192" s="3">
        <v>1</v>
      </c>
      <c r="J192" s="3">
        <v>1</v>
      </c>
      <c r="K192" s="3">
        <v>8</v>
      </c>
      <c r="L192" s="2" t="s">
        <v>69</v>
      </c>
      <c r="M192" s="2" t="s">
        <v>30</v>
      </c>
      <c r="N192" s="3">
        <v>11.18</v>
      </c>
      <c r="O192" s="3">
        <v>17.600000000000001</v>
      </c>
      <c r="P192" s="3">
        <v>37.299999999999997</v>
      </c>
      <c r="Q192" s="9">
        <f t="shared" si="15"/>
        <v>10.468545454545454</v>
      </c>
      <c r="R192" s="10">
        <f t="shared" si="16"/>
        <v>822.48272512282313</v>
      </c>
      <c r="S192" s="11">
        <f t="shared" si="17"/>
        <v>733.70448271438283</v>
      </c>
      <c r="T192" s="7">
        <v>66.599999999999994</v>
      </c>
      <c r="U192" s="7">
        <v>37.4</v>
      </c>
    </row>
    <row r="193" spans="1:21" x14ac:dyDescent="0.25">
      <c r="A193" s="4">
        <v>2023</v>
      </c>
      <c r="B193" s="3" t="s">
        <v>201</v>
      </c>
      <c r="C193" s="3" t="s">
        <v>202</v>
      </c>
      <c r="D193" s="3" t="s">
        <v>203</v>
      </c>
      <c r="E193" s="3" t="s">
        <v>204</v>
      </c>
      <c r="F193" s="3" t="s">
        <v>214</v>
      </c>
      <c r="G193" s="3">
        <v>302</v>
      </c>
      <c r="H193" s="3">
        <v>3</v>
      </c>
      <c r="I193" s="3">
        <v>2</v>
      </c>
      <c r="J193" s="3">
        <v>1</v>
      </c>
      <c r="K193" s="3">
        <v>9</v>
      </c>
      <c r="L193" s="2" t="s">
        <v>69</v>
      </c>
      <c r="M193" s="2" t="s">
        <v>53</v>
      </c>
      <c r="N193" s="3">
        <v>11.03</v>
      </c>
      <c r="O193" s="3">
        <v>19.5</v>
      </c>
      <c r="P193" s="3">
        <v>38.1</v>
      </c>
      <c r="Q193" s="9">
        <f t="shared" si="15"/>
        <v>10.089943181818182</v>
      </c>
      <c r="R193" s="10">
        <f t="shared" si="16"/>
        <v>792.73706175798441</v>
      </c>
      <c r="S193" s="11">
        <f t="shared" si="17"/>
        <v>707.1695466172921</v>
      </c>
      <c r="T193" s="7">
        <v>66</v>
      </c>
      <c r="U193" s="7">
        <v>42.3</v>
      </c>
    </row>
    <row r="194" spans="1:21" x14ac:dyDescent="0.25">
      <c r="A194" s="4">
        <v>2023</v>
      </c>
      <c r="B194" s="3" t="s">
        <v>201</v>
      </c>
      <c r="C194" s="3" t="s">
        <v>202</v>
      </c>
      <c r="D194" s="3" t="s">
        <v>203</v>
      </c>
      <c r="E194" s="3" t="s">
        <v>204</v>
      </c>
      <c r="F194" s="3" t="s">
        <v>215</v>
      </c>
      <c r="G194" s="3">
        <v>303</v>
      </c>
      <c r="H194" s="3">
        <v>3</v>
      </c>
      <c r="I194" s="3">
        <v>3</v>
      </c>
      <c r="J194" s="3">
        <v>1</v>
      </c>
      <c r="K194" s="3">
        <v>17</v>
      </c>
      <c r="L194" s="2" t="s">
        <v>42</v>
      </c>
      <c r="M194" s="2" t="s">
        <v>30</v>
      </c>
      <c r="N194" s="3">
        <v>8.3800000000000008</v>
      </c>
      <c r="O194" s="3">
        <v>19.100000000000001</v>
      </c>
      <c r="P194" s="3">
        <v>37.700000000000003</v>
      </c>
      <c r="Q194" s="9">
        <f t="shared" si="15"/>
        <v>7.7038863636363635</v>
      </c>
      <c r="R194" s="10">
        <f t="shared" si="16"/>
        <v>605.27161847961963</v>
      </c>
      <c r="S194" s="11">
        <f t="shared" si="17"/>
        <v>539.93899953578909</v>
      </c>
      <c r="T194" s="7">
        <v>69</v>
      </c>
      <c r="U194" s="7">
        <v>59.2</v>
      </c>
    </row>
    <row r="195" spans="1:21" x14ac:dyDescent="0.25">
      <c r="A195" s="4">
        <v>2023</v>
      </c>
      <c r="B195" s="3" t="s">
        <v>201</v>
      </c>
      <c r="C195" s="3" t="s">
        <v>202</v>
      </c>
      <c r="D195" s="3" t="s">
        <v>203</v>
      </c>
      <c r="E195" s="3" t="s">
        <v>204</v>
      </c>
      <c r="F195" s="3" t="s">
        <v>216</v>
      </c>
      <c r="G195" s="3">
        <v>304</v>
      </c>
      <c r="H195" s="3">
        <v>3</v>
      </c>
      <c r="I195" s="3">
        <v>4</v>
      </c>
      <c r="J195" s="3">
        <v>1</v>
      </c>
      <c r="K195" s="3">
        <v>12</v>
      </c>
      <c r="L195" s="2" t="s">
        <v>27</v>
      </c>
      <c r="M195" s="2" t="s">
        <v>53</v>
      </c>
      <c r="N195" s="3">
        <v>7.34</v>
      </c>
      <c r="O195" s="3">
        <v>20.8</v>
      </c>
      <c r="P195" s="3">
        <v>39.299999999999997</v>
      </c>
      <c r="Q195" s="9">
        <f t="shared" si="15"/>
        <v>6.6059999999999999</v>
      </c>
      <c r="R195" s="10">
        <f t="shared" si="16"/>
        <v>519.01392660068313</v>
      </c>
      <c r="S195" s="11">
        <f t="shared" si="17"/>
        <v>462.9919059774158</v>
      </c>
      <c r="T195" s="7">
        <v>71.900000000000006</v>
      </c>
      <c r="U195" s="7">
        <v>59.2</v>
      </c>
    </row>
    <row r="196" spans="1:21" x14ac:dyDescent="0.25">
      <c r="A196" s="4">
        <v>2023</v>
      </c>
      <c r="B196" s="3" t="s">
        <v>201</v>
      </c>
      <c r="C196" s="3" t="s">
        <v>202</v>
      </c>
      <c r="D196" s="3" t="s">
        <v>203</v>
      </c>
      <c r="E196" s="3" t="s">
        <v>204</v>
      </c>
      <c r="F196" s="3" t="s">
        <v>217</v>
      </c>
      <c r="G196" s="3">
        <v>305</v>
      </c>
      <c r="H196" s="3">
        <v>3</v>
      </c>
      <c r="I196" s="3">
        <v>5</v>
      </c>
      <c r="J196" s="3">
        <v>1</v>
      </c>
      <c r="K196" s="3">
        <v>7</v>
      </c>
      <c r="L196" s="2" t="s">
        <v>69</v>
      </c>
      <c r="M196" s="2" t="s">
        <v>658</v>
      </c>
      <c r="N196" s="3">
        <v>10.98</v>
      </c>
      <c r="O196" s="3">
        <v>16.600000000000001</v>
      </c>
      <c r="P196" s="3">
        <v>39</v>
      </c>
      <c r="Q196" s="9">
        <f t="shared" si="15"/>
        <v>10.406045454545454</v>
      </c>
      <c r="R196" s="10">
        <f t="shared" si="16"/>
        <v>817.57228455174493</v>
      </c>
      <c r="S196" s="11">
        <f t="shared" si="17"/>
        <v>729.32407185704278</v>
      </c>
      <c r="T196" s="7">
        <v>67.400000000000006</v>
      </c>
      <c r="U196" s="7">
        <v>37</v>
      </c>
    </row>
    <row r="197" spans="1:21" x14ac:dyDescent="0.25">
      <c r="A197" s="4">
        <v>2023</v>
      </c>
      <c r="B197" s="3" t="s">
        <v>201</v>
      </c>
      <c r="C197" s="3" t="s">
        <v>202</v>
      </c>
      <c r="D197" s="3" t="s">
        <v>203</v>
      </c>
      <c r="E197" s="3" t="s">
        <v>204</v>
      </c>
      <c r="F197" s="3" t="s">
        <v>218</v>
      </c>
      <c r="G197" s="3">
        <v>306</v>
      </c>
      <c r="H197" s="3">
        <v>3</v>
      </c>
      <c r="I197" s="3">
        <v>6</v>
      </c>
      <c r="J197" s="3">
        <v>2</v>
      </c>
      <c r="K197" s="3">
        <v>8</v>
      </c>
      <c r="L197" s="2" t="s">
        <v>69</v>
      </c>
      <c r="M197" s="2" t="s">
        <v>30</v>
      </c>
      <c r="N197" s="3">
        <v>11.82</v>
      </c>
      <c r="O197" s="3">
        <v>17.8</v>
      </c>
      <c r="P197" s="3">
        <v>38.700000000000003</v>
      </c>
      <c r="Q197" s="9">
        <f t="shared" si="15"/>
        <v>11.040954545454545</v>
      </c>
      <c r="R197" s="10">
        <f t="shared" si="16"/>
        <v>867.455218294887</v>
      </c>
      <c r="S197" s="11">
        <f t="shared" si="17"/>
        <v>773.82267466091616</v>
      </c>
      <c r="T197" s="7">
        <v>67.400000000000006</v>
      </c>
      <c r="U197" s="7">
        <v>41.4</v>
      </c>
    </row>
    <row r="198" spans="1:21" x14ac:dyDescent="0.25">
      <c r="A198" s="4">
        <v>2023</v>
      </c>
      <c r="B198" s="3" t="s">
        <v>201</v>
      </c>
      <c r="C198" s="3" t="s">
        <v>202</v>
      </c>
      <c r="D198" s="3" t="s">
        <v>203</v>
      </c>
      <c r="E198" s="3" t="s">
        <v>204</v>
      </c>
      <c r="F198" s="3" t="s">
        <v>219</v>
      </c>
      <c r="G198" s="3">
        <v>307</v>
      </c>
      <c r="H198" s="3">
        <v>3</v>
      </c>
      <c r="I198" s="3">
        <v>7</v>
      </c>
      <c r="J198" s="3">
        <v>2</v>
      </c>
      <c r="K198" s="3">
        <v>16</v>
      </c>
      <c r="L198" s="2" t="s">
        <v>42</v>
      </c>
      <c r="M198" s="2" t="s">
        <v>658</v>
      </c>
      <c r="N198" s="3">
        <v>9.0399999999999991</v>
      </c>
      <c r="O198" s="3">
        <v>18.399999999999999</v>
      </c>
      <c r="P198" s="3">
        <v>38.799999999999997</v>
      </c>
      <c r="Q198" s="9">
        <f t="shared" si="15"/>
        <v>8.3825454545454541</v>
      </c>
      <c r="R198" s="10">
        <f t="shared" si="16"/>
        <v>658.59186062251661</v>
      </c>
      <c r="S198" s="11">
        <f t="shared" si="17"/>
        <v>587.50388993980073</v>
      </c>
      <c r="T198" s="7">
        <v>69.8</v>
      </c>
      <c r="U198" s="7">
        <v>59.5</v>
      </c>
    </row>
    <row r="199" spans="1:21" x14ac:dyDescent="0.25">
      <c r="A199" s="4">
        <v>2023</v>
      </c>
      <c r="B199" s="3" t="s">
        <v>201</v>
      </c>
      <c r="C199" s="3" t="s">
        <v>202</v>
      </c>
      <c r="D199" s="3" t="s">
        <v>203</v>
      </c>
      <c r="E199" s="3" t="s">
        <v>204</v>
      </c>
      <c r="F199" s="3" t="s">
        <v>220</v>
      </c>
      <c r="G199" s="3">
        <v>308</v>
      </c>
      <c r="H199" s="3">
        <v>3</v>
      </c>
      <c r="I199" s="3">
        <v>8</v>
      </c>
      <c r="J199" s="3">
        <v>2</v>
      </c>
      <c r="K199" s="3">
        <v>7</v>
      </c>
      <c r="L199" s="2" t="s">
        <v>69</v>
      </c>
      <c r="M199" s="2" t="s">
        <v>658</v>
      </c>
      <c r="N199" s="3">
        <v>11.86</v>
      </c>
      <c r="O199" s="3">
        <v>16.2</v>
      </c>
      <c r="P199" s="3">
        <v>36.5</v>
      </c>
      <c r="Q199" s="9">
        <f t="shared" si="15"/>
        <v>11.293954545454545</v>
      </c>
      <c r="R199" s="10">
        <f t="shared" si="16"/>
        <v>887.33268172661178</v>
      </c>
      <c r="S199" s="11">
        <f t="shared" si="17"/>
        <v>791.55457781142889</v>
      </c>
      <c r="T199" s="7">
        <v>67</v>
      </c>
      <c r="U199" s="7">
        <v>37.4</v>
      </c>
    </row>
    <row r="200" spans="1:21" x14ac:dyDescent="0.25">
      <c r="A200" s="4">
        <v>2023</v>
      </c>
      <c r="B200" s="3" t="s">
        <v>201</v>
      </c>
      <c r="C200" s="3" t="s">
        <v>202</v>
      </c>
      <c r="D200" s="3" t="s">
        <v>203</v>
      </c>
      <c r="E200" s="3" t="s">
        <v>204</v>
      </c>
      <c r="F200" s="3" t="s">
        <v>221</v>
      </c>
      <c r="G200" s="3">
        <v>309</v>
      </c>
      <c r="H200" s="3">
        <v>3</v>
      </c>
      <c r="I200" s="3">
        <v>9</v>
      </c>
      <c r="J200" s="3">
        <v>2</v>
      </c>
      <c r="K200" s="3">
        <v>17</v>
      </c>
      <c r="L200" s="2" t="s">
        <v>42</v>
      </c>
      <c r="M200" s="2" t="s">
        <v>30</v>
      </c>
      <c r="N200" s="3">
        <v>9.9600000000000009</v>
      </c>
      <c r="O200" s="3">
        <v>20.3</v>
      </c>
      <c r="P200" s="3">
        <v>39.799999999999997</v>
      </c>
      <c r="Q200" s="9">
        <f t="shared" si="15"/>
        <v>9.0205909090909078</v>
      </c>
      <c r="R200" s="10">
        <f t="shared" si="16"/>
        <v>708.72120920158909</v>
      </c>
      <c r="S200" s="11">
        <f t="shared" si="17"/>
        <v>632.22230972487876</v>
      </c>
      <c r="T200" s="7">
        <v>70</v>
      </c>
      <c r="U200" s="7">
        <v>60.4</v>
      </c>
    </row>
    <row r="201" spans="1:21" x14ac:dyDescent="0.25">
      <c r="A201" s="4">
        <v>2023</v>
      </c>
      <c r="B201" s="3" t="s">
        <v>201</v>
      </c>
      <c r="C201" s="3" t="s">
        <v>202</v>
      </c>
      <c r="D201" s="3" t="s">
        <v>203</v>
      </c>
      <c r="E201" s="3" t="s">
        <v>204</v>
      </c>
      <c r="F201" s="3" t="s">
        <v>222</v>
      </c>
      <c r="G201" s="3">
        <v>310</v>
      </c>
      <c r="H201" s="3">
        <v>3</v>
      </c>
      <c r="I201" s="3">
        <v>10</v>
      </c>
      <c r="J201" s="3">
        <v>2</v>
      </c>
      <c r="K201" s="3">
        <v>18</v>
      </c>
      <c r="L201" s="2" t="s">
        <v>42</v>
      </c>
      <c r="M201" s="2" t="s">
        <v>53</v>
      </c>
      <c r="N201" s="3">
        <v>8.98</v>
      </c>
      <c r="O201" s="3">
        <v>20.100000000000001</v>
      </c>
      <c r="P201" s="3">
        <v>39.299999999999997</v>
      </c>
      <c r="Q201" s="9">
        <f t="shared" si="15"/>
        <v>8.1534318181818186</v>
      </c>
      <c r="R201" s="10">
        <f t="shared" si="16"/>
        <v>640.59107829632057</v>
      </c>
      <c r="S201" s="11">
        <f t="shared" si="17"/>
        <v>571.44610017512991</v>
      </c>
      <c r="T201" s="7">
        <v>70.2</v>
      </c>
      <c r="U201" s="7">
        <v>62.7</v>
      </c>
    </row>
    <row r="202" spans="1:21" x14ac:dyDescent="0.25">
      <c r="A202" s="4">
        <v>2023</v>
      </c>
      <c r="B202" s="3" t="s">
        <v>201</v>
      </c>
      <c r="C202" s="3" t="s">
        <v>202</v>
      </c>
      <c r="D202" s="3" t="s">
        <v>203</v>
      </c>
      <c r="E202" s="3" t="s">
        <v>204</v>
      </c>
      <c r="F202" s="3" t="s">
        <v>223</v>
      </c>
      <c r="G202" s="3">
        <v>311</v>
      </c>
      <c r="H202" s="3">
        <v>3</v>
      </c>
      <c r="I202" s="3">
        <v>11</v>
      </c>
      <c r="J202" s="3">
        <v>3</v>
      </c>
      <c r="K202" s="3">
        <v>14</v>
      </c>
      <c r="L202" s="2" t="s">
        <v>87</v>
      </c>
      <c r="M202" s="2" t="s">
        <v>30</v>
      </c>
      <c r="N202" s="3">
        <v>8.1999999999999993</v>
      </c>
      <c r="O202" s="3">
        <v>15.1</v>
      </c>
      <c r="P202" s="3">
        <v>36.299999999999997</v>
      </c>
      <c r="Q202" s="9">
        <f t="shared" si="15"/>
        <v>7.9111363636363627</v>
      </c>
      <c r="R202" s="10">
        <f t="shared" si="16"/>
        <v>621.55463941331504</v>
      </c>
      <c r="S202" s="11">
        <f t="shared" si="17"/>
        <v>554.4644419387289</v>
      </c>
      <c r="T202" s="7">
        <v>68.7</v>
      </c>
      <c r="U202" s="7">
        <v>33</v>
      </c>
    </row>
    <row r="203" spans="1:21" x14ac:dyDescent="0.25">
      <c r="A203" s="4">
        <v>2023</v>
      </c>
      <c r="B203" s="3" t="s">
        <v>201</v>
      </c>
      <c r="C203" s="3" t="s">
        <v>202</v>
      </c>
      <c r="D203" s="3" t="s">
        <v>203</v>
      </c>
      <c r="E203" s="3" t="s">
        <v>204</v>
      </c>
      <c r="F203" s="3" t="s">
        <v>224</v>
      </c>
      <c r="G203" s="3">
        <v>312</v>
      </c>
      <c r="H203" s="3">
        <v>3</v>
      </c>
      <c r="I203" s="3">
        <v>12</v>
      </c>
      <c r="J203" s="3">
        <v>3</v>
      </c>
      <c r="K203" s="3">
        <v>15</v>
      </c>
      <c r="L203" s="2" t="s">
        <v>87</v>
      </c>
      <c r="M203" s="2" t="s">
        <v>53</v>
      </c>
      <c r="N203" s="3">
        <v>7.91</v>
      </c>
      <c r="O203" s="3">
        <v>15.1</v>
      </c>
      <c r="P203" s="3">
        <v>35</v>
      </c>
      <c r="Q203" s="9">
        <f t="shared" si="15"/>
        <v>7.6313522727272725</v>
      </c>
      <c r="R203" s="10">
        <f t="shared" si="16"/>
        <v>599.57282899503923</v>
      </c>
      <c r="S203" s="11">
        <f t="shared" si="17"/>
        <v>534.85533362626154</v>
      </c>
      <c r="T203" s="7">
        <v>68.099999999999994</v>
      </c>
      <c r="U203" s="7">
        <v>34.1</v>
      </c>
    </row>
    <row r="204" spans="1:21" x14ac:dyDescent="0.25">
      <c r="A204" s="4">
        <v>2023</v>
      </c>
      <c r="B204" s="3" t="s">
        <v>201</v>
      </c>
      <c r="C204" s="3" t="s">
        <v>202</v>
      </c>
      <c r="D204" s="3" t="s">
        <v>203</v>
      </c>
      <c r="E204" s="3" t="s">
        <v>204</v>
      </c>
      <c r="F204" s="3" t="s">
        <v>225</v>
      </c>
      <c r="G204" s="3">
        <v>313</v>
      </c>
      <c r="H204" s="3">
        <v>3</v>
      </c>
      <c r="I204" s="3">
        <v>13</v>
      </c>
      <c r="J204" s="3">
        <v>3</v>
      </c>
      <c r="K204" s="3">
        <v>11</v>
      </c>
      <c r="L204" s="2" t="s">
        <v>27</v>
      </c>
      <c r="M204" s="2" t="s">
        <v>30</v>
      </c>
      <c r="N204" s="3">
        <v>8.1999999999999993</v>
      </c>
      <c r="O204" s="3">
        <v>19.600000000000001</v>
      </c>
      <c r="P204" s="3">
        <v>39.200000000000003</v>
      </c>
      <c r="Q204" s="9">
        <f t="shared" si="15"/>
        <v>7.4918181818181813</v>
      </c>
      <c r="R204" s="10">
        <f t="shared" si="16"/>
        <v>588.61004721826293</v>
      </c>
      <c r="S204" s="11">
        <f t="shared" si="17"/>
        <v>525.07586727766545</v>
      </c>
      <c r="T204" s="7">
        <v>71.8</v>
      </c>
      <c r="U204" s="7">
        <v>59.9</v>
      </c>
    </row>
    <row r="205" spans="1:21" x14ac:dyDescent="0.25">
      <c r="A205" s="4">
        <v>2023</v>
      </c>
      <c r="B205" s="3" t="s">
        <v>201</v>
      </c>
      <c r="C205" s="3" t="s">
        <v>202</v>
      </c>
      <c r="D205" s="3" t="s">
        <v>203</v>
      </c>
      <c r="E205" s="3" t="s">
        <v>204</v>
      </c>
      <c r="F205" s="3" t="s">
        <v>226</v>
      </c>
      <c r="G205" s="3">
        <v>314</v>
      </c>
      <c r="H205" s="3">
        <v>3</v>
      </c>
      <c r="I205" s="3">
        <v>14</v>
      </c>
      <c r="J205" s="3">
        <v>3</v>
      </c>
      <c r="K205" s="3">
        <v>17</v>
      </c>
      <c r="L205" s="2" t="s">
        <v>42</v>
      </c>
      <c r="M205" s="2" t="s">
        <v>30</v>
      </c>
      <c r="N205" s="3">
        <v>9.2899999999999991</v>
      </c>
      <c r="O205" s="3">
        <v>19.3</v>
      </c>
      <c r="P205" s="3">
        <v>38.5</v>
      </c>
      <c r="Q205" s="9">
        <f t="shared" si="15"/>
        <v>8.5193522727272715</v>
      </c>
      <c r="R205" s="10">
        <f t="shared" si="16"/>
        <v>669.34036862891855</v>
      </c>
      <c r="S205" s="11">
        <f t="shared" si="17"/>
        <v>597.09221108734926</v>
      </c>
      <c r="T205" s="7">
        <v>69.2</v>
      </c>
      <c r="U205" s="7">
        <v>58.1</v>
      </c>
    </row>
    <row r="206" spans="1:21" x14ac:dyDescent="0.25">
      <c r="A206" s="4">
        <v>2023</v>
      </c>
      <c r="B206" s="3" t="s">
        <v>201</v>
      </c>
      <c r="C206" s="3" t="s">
        <v>202</v>
      </c>
      <c r="D206" s="3" t="s">
        <v>203</v>
      </c>
      <c r="E206" s="3" t="s">
        <v>204</v>
      </c>
      <c r="F206" s="3" t="s">
        <v>227</v>
      </c>
      <c r="G206" s="3">
        <v>315</v>
      </c>
      <c r="H206" s="3">
        <v>3</v>
      </c>
      <c r="I206" s="3">
        <v>15</v>
      </c>
      <c r="J206" s="3">
        <v>3</v>
      </c>
      <c r="K206" s="3">
        <v>10</v>
      </c>
      <c r="L206" s="2" t="s">
        <v>27</v>
      </c>
      <c r="M206" s="2" t="s">
        <v>658</v>
      </c>
      <c r="N206" s="3">
        <v>7.12</v>
      </c>
      <c r="O206" s="3">
        <v>17.399999999999999</v>
      </c>
      <c r="P206" s="3">
        <v>36.5</v>
      </c>
      <c r="Q206" s="9">
        <f t="shared" si="15"/>
        <v>6.6830909090909092</v>
      </c>
      <c r="R206" s="10">
        <f t="shared" si="16"/>
        <v>525.07073184326396</v>
      </c>
      <c r="S206" s="11">
        <f t="shared" si="17"/>
        <v>468.39494366036035</v>
      </c>
      <c r="T206" s="7">
        <v>70.900000000000006</v>
      </c>
      <c r="U206" s="7">
        <v>54.8</v>
      </c>
    </row>
    <row r="207" spans="1:21" x14ac:dyDescent="0.25">
      <c r="A207" s="4">
        <v>2023</v>
      </c>
      <c r="B207" s="3" t="s">
        <v>201</v>
      </c>
      <c r="C207" s="3" t="s">
        <v>202</v>
      </c>
      <c r="D207" s="3" t="s">
        <v>203</v>
      </c>
      <c r="E207" s="3" t="s">
        <v>204</v>
      </c>
      <c r="F207" s="3" t="s">
        <v>228</v>
      </c>
      <c r="G207" s="3">
        <v>401</v>
      </c>
      <c r="H207" s="3">
        <v>4</v>
      </c>
      <c r="I207" s="3">
        <v>1</v>
      </c>
      <c r="J207" s="3">
        <v>1</v>
      </c>
      <c r="K207" s="3">
        <v>1</v>
      </c>
      <c r="L207" s="2" t="s">
        <v>100</v>
      </c>
      <c r="M207" s="2" t="s">
        <v>658</v>
      </c>
      <c r="N207" s="3">
        <v>7.57</v>
      </c>
      <c r="O207" s="3">
        <v>15.2</v>
      </c>
      <c r="P207" s="3">
        <v>32.6</v>
      </c>
      <c r="Q207" s="9">
        <f t="shared" si="15"/>
        <v>7.2947272727272727</v>
      </c>
      <c r="R207" s="10">
        <f t="shared" si="16"/>
        <v>573.12519607921183</v>
      </c>
      <c r="S207" s="11">
        <f t="shared" si="17"/>
        <v>511.26244074862785</v>
      </c>
      <c r="T207" s="7">
        <v>61.1</v>
      </c>
      <c r="U207" s="7">
        <v>28.5</v>
      </c>
    </row>
    <row r="208" spans="1:21" x14ac:dyDescent="0.25">
      <c r="A208" s="4">
        <v>2023</v>
      </c>
      <c r="B208" s="3" t="s">
        <v>201</v>
      </c>
      <c r="C208" s="3" t="s">
        <v>202</v>
      </c>
      <c r="D208" s="3" t="s">
        <v>203</v>
      </c>
      <c r="E208" s="3" t="s">
        <v>204</v>
      </c>
      <c r="F208" s="3" t="s">
        <v>229</v>
      </c>
      <c r="G208" s="3">
        <v>402</v>
      </c>
      <c r="H208" s="3">
        <v>4</v>
      </c>
      <c r="I208" s="3">
        <v>2</v>
      </c>
      <c r="J208" s="3">
        <v>1</v>
      </c>
      <c r="K208" s="3">
        <v>19</v>
      </c>
      <c r="L208" s="2" t="s">
        <v>113</v>
      </c>
      <c r="M208" s="2" t="s">
        <v>658</v>
      </c>
      <c r="N208" s="3">
        <v>6.59</v>
      </c>
      <c r="O208" s="3">
        <v>17.2</v>
      </c>
      <c r="P208" s="3">
        <v>32.1</v>
      </c>
      <c r="Q208" s="9">
        <f t="shared" si="15"/>
        <v>6.2005909090909093</v>
      </c>
      <c r="R208" s="10">
        <f t="shared" si="16"/>
        <v>487.16213063454018</v>
      </c>
      <c r="S208" s="11">
        <f t="shared" si="17"/>
        <v>434.57817184169505</v>
      </c>
      <c r="T208" s="7">
        <v>63.4</v>
      </c>
      <c r="U208" s="7">
        <v>44.2</v>
      </c>
    </row>
    <row r="209" spans="1:21" x14ac:dyDescent="0.25">
      <c r="A209" s="4">
        <v>2023</v>
      </c>
      <c r="B209" s="3" t="s">
        <v>201</v>
      </c>
      <c r="C209" s="3" t="s">
        <v>202</v>
      </c>
      <c r="D209" s="3" t="s">
        <v>203</v>
      </c>
      <c r="E209" s="3" t="s">
        <v>204</v>
      </c>
      <c r="F209" s="3" t="s">
        <v>230</v>
      </c>
      <c r="G209" s="3">
        <v>403</v>
      </c>
      <c r="H209" s="3">
        <v>4</v>
      </c>
      <c r="I209" s="3">
        <v>3</v>
      </c>
      <c r="J209" s="3">
        <v>1</v>
      </c>
      <c r="K209" s="3">
        <v>18</v>
      </c>
      <c r="L209" s="2" t="s">
        <v>42</v>
      </c>
      <c r="M209" s="2" t="s">
        <v>53</v>
      </c>
      <c r="N209" s="3">
        <v>6.35</v>
      </c>
      <c r="O209" s="3">
        <v>18.7</v>
      </c>
      <c r="P209" s="3">
        <v>35.799999999999997</v>
      </c>
      <c r="Q209" s="9">
        <f t="shared" si="15"/>
        <v>5.8665340909090906</v>
      </c>
      <c r="R209" s="10">
        <f t="shared" si="16"/>
        <v>460.91627218581527</v>
      </c>
      <c r="S209" s="11">
        <f t="shared" si="17"/>
        <v>411.16527402838113</v>
      </c>
      <c r="T209" s="7">
        <v>66</v>
      </c>
      <c r="U209" s="7">
        <v>53.3</v>
      </c>
    </row>
    <row r="210" spans="1:21" x14ac:dyDescent="0.25">
      <c r="A210" s="4">
        <v>2023</v>
      </c>
      <c r="B210" s="3" t="s">
        <v>201</v>
      </c>
      <c r="C210" s="3" t="s">
        <v>202</v>
      </c>
      <c r="D210" s="3" t="s">
        <v>203</v>
      </c>
      <c r="E210" s="3" t="s">
        <v>204</v>
      </c>
      <c r="F210" s="3" t="s">
        <v>231</v>
      </c>
      <c r="G210" s="3">
        <v>404</v>
      </c>
      <c r="H210" s="3">
        <v>4</v>
      </c>
      <c r="I210" s="3">
        <v>4</v>
      </c>
      <c r="J210" s="3">
        <v>1</v>
      </c>
      <c r="K210" s="3">
        <v>13</v>
      </c>
      <c r="L210" s="2" t="s">
        <v>87</v>
      </c>
      <c r="M210" s="2" t="s">
        <v>658</v>
      </c>
      <c r="N210" s="3">
        <v>6.16</v>
      </c>
      <c r="O210" s="3">
        <v>12.3</v>
      </c>
      <c r="P210" s="3">
        <v>29.7</v>
      </c>
      <c r="Q210" s="9">
        <f t="shared" si="15"/>
        <v>6.1390000000000002</v>
      </c>
      <c r="R210" s="10">
        <f t="shared" si="16"/>
        <v>482.32311465358669</v>
      </c>
      <c r="S210" s="11">
        <f t="shared" si="17"/>
        <v>430.26147605137083</v>
      </c>
      <c r="T210" s="7">
        <v>65.7</v>
      </c>
      <c r="U210" s="7">
        <v>29.4</v>
      </c>
    </row>
    <row r="211" spans="1:21" x14ac:dyDescent="0.25">
      <c r="A211" s="4">
        <v>2023</v>
      </c>
      <c r="B211" s="3" t="s">
        <v>201</v>
      </c>
      <c r="C211" s="3" t="s">
        <v>202</v>
      </c>
      <c r="D211" s="3" t="s">
        <v>203</v>
      </c>
      <c r="E211" s="3" t="s">
        <v>204</v>
      </c>
      <c r="F211" s="3" t="s">
        <v>232</v>
      </c>
      <c r="G211" s="3">
        <v>405</v>
      </c>
      <c r="H211" s="3">
        <v>4</v>
      </c>
      <c r="I211" s="3">
        <v>5</v>
      </c>
      <c r="J211" s="3">
        <v>1</v>
      </c>
      <c r="K211" s="3">
        <v>10</v>
      </c>
      <c r="L211" s="2" t="s">
        <v>27</v>
      </c>
      <c r="M211" s="2" t="s">
        <v>658</v>
      </c>
      <c r="N211" s="3">
        <v>5.68</v>
      </c>
      <c r="O211" s="3">
        <v>18.5</v>
      </c>
      <c r="P211" s="3">
        <v>36.700000000000003</v>
      </c>
      <c r="Q211" s="9">
        <f t="shared" si="15"/>
        <v>5.2604545454545448</v>
      </c>
      <c r="R211" s="10">
        <f t="shared" si="16"/>
        <v>413.298390757005</v>
      </c>
      <c r="S211" s="11">
        <f t="shared" si="17"/>
        <v>368.68723528724797</v>
      </c>
      <c r="T211" s="7">
        <v>69.3</v>
      </c>
      <c r="U211" s="7">
        <v>53.8</v>
      </c>
    </row>
    <row r="212" spans="1:21" x14ac:dyDescent="0.25">
      <c r="A212" s="4">
        <v>2023</v>
      </c>
      <c r="B212" s="3" t="s">
        <v>201</v>
      </c>
      <c r="C212" s="3" t="s">
        <v>202</v>
      </c>
      <c r="D212" s="3" t="s">
        <v>203</v>
      </c>
      <c r="E212" s="3" t="s">
        <v>204</v>
      </c>
      <c r="F212" s="3" t="s">
        <v>233</v>
      </c>
      <c r="G212" s="3">
        <v>406</v>
      </c>
      <c r="H212" s="3">
        <v>4</v>
      </c>
      <c r="I212" s="3">
        <v>6</v>
      </c>
      <c r="J212" s="3">
        <v>2</v>
      </c>
      <c r="K212" s="3">
        <v>20</v>
      </c>
      <c r="L212" s="2" t="s">
        <v>82</v>
      </c>
      <c r="M212" s="2" t="s">
        <v>658</v>
      </c>
      <c r="N212" s="3">
        <v>8.4700000000000006</v>
      </c>
      <c r="O212" s="3">
        <v>18.100000000000001</v>
      </c>
      <c r="P212" s="3">
        <v>31</v>
      </c>
      <c r="Q212" s="9">
        <f t="shared" si="15"/>
        <v>7.8828750000000003</v>
      </c>
      <c r="R212" s="10">
        <f t="shared" si="16"/>
        <v>619.33422746781105</v>
      </c>
      <c r="S212" s="11">
        <f t="shared" si="17"/>
        <v>552.48369979287338</v>
      </c>
      <c r="T212" s="7">
        <v>64.900000000000006</v>
      </c>
      <c r="U212" s="7">
        <v>46.7</v>
      </c>
    </row>
    <row r="213" spans="1:21" x14ac:dyDescent="0.25">
      <c r="A213" s="4">
        <v>2023</v>
      </c>
      <c r="B213" s="3" t="s">
        <v>201</v>
      </c>
      <c r="C213" s="3" t="s">
        <v>202</v>
      </c>
      <c r="D213" s="3" t="s">
        <v>203</v>
      </c>
      <c r="E213" s="3" t="s">
        <v>204</v>
      </c>
      <c r="F213" s="3" t="s">
        <v>234</v>
      </c>
      <c r="G213" s="3">
        <v>407</v>
      </c>
      <c r="H213" s="3">
        <v>4</v>
      </c>
      <c r="I213" s="3">
        <v>7</v>
      </c>
      <c r="J213" s="3">
        <v>2</v>
      </c>
      <c r="K213" s="3">
        <v>4</v>
      </c>
      <c r="L213" s="2" t="s">
        <v>56</v>
      </c>
      <c r="M213" s="2" t="s">
        <v>658</v>
      </c>
      <c r="N213" s="3">
        <v>7.96</v>
      </c>
      <c r="O213" s="3">
        <v>16.100000000000001</v>
      </c>
      <c r="P213" s="3">
        <v>37.799999999999997</v>
      </c>
      <c r="Q213" s="9">
        <f t="shared" si="15"/>
        <v>7.5891363636363636</v>
      </c>
      <c r="R213" s="10">
        <f t="shared" si="16"/>
        <v>596.25604959112002</v>
      </c>
      <c r="S213" s="11">
        <f t="shared" si="17"/>
        <v>531.89656520171275</v>
      </c>
      <c r="T213" s="7">
        <v>65</v>
      </c>
      <c r="U213" s="7">
        <v>43.8</v>
      </c>
    </row>
    <row r="214" spans="1:21" x14ac:dyDescent="0.25">
      <c r="A214" s="4">
        <v>2023</v>
      </c>
      <c r="B214" s="3" t="s">
        <v>201</v>
      </c>
      <c r="C214" s="3" t="s">
        <v>202</v>
      </c>
      <c r="D214" s="3" t="s">
        <v>203</v>
      </c>
      <c r="E214" s="3" t="s">
        <v>204</v>
      </c>
      <c r="F214" s="3" t="s">
        <v>235</v>
      </c>
      <c r="G214" s="3">
        <v>408</v>
      </c>
      <c r="H214" s="3">
        <v>4</v>
      </c>
      <c r="I214" s="3">
        <v>8</v>
      </c>
      <c r="J214" s="3">
        <v>2</v>
      </c>
      <c r="K214" s="3">
        <v>15</v>
      </c>
      <c r="L214" s="2" t="s">
        <v>87</v>
      </c>
      <c r="M214" s="2" t="s">
        <v>53</v>
      </c>
      <c r="N214" s="3">
        <v>6.4</v>
      </c>
      <c r="O214" s="3">
        <v>11.1</v>
      </c>
      <c r="P214" s="3">
        <v>29.9</v>
      </c>
      <c r="Q214" s="9">
        <f t="shared" si="15"/>
        <v>6.4654545454545458</v>
      </c>
      <c r="R214" s="10">
        <f t="shared" si="16"/>
        <v>507.97168496739306</v>
      </c>
      <c r="S214" s="11">
        <f t="shared" si="17"/>
        <v>453.14155661676455</v>
      </c>
      <c r="T214" s="7">
        <v>65.2</v>
      </c>
      <c r="U214" s="7">
        <v>29.9</v>
      </c>
    </row>
    <row r="215" spans="1:21" x14ac:dyDescent="0.25">
      <c r="A215" s="4">
        <v>2023</v>
      </c>
      <c r="B215" s="3" t="s">
        <v>201</v>
      </c>
      <c r="C215" s="3" t="s">
        <v>202</v>
      </c>
      <c r="D215" s="3" t="s">
        <v>203</v>
      </c>
      <c r="E215" s="3" t="s">
        <v>204</v>
      </c>
      <c r="F215" s="3" t="s">
        <v>236</v>
      </c>
      <c r="G215" s="3">
        <v>409</v>
      </c>
      <c r="H215" s="3">
        <v>4</v>
      </c>
      <c r="I215" s="3">
        <v>9</v>
      </c>
      <c r="J215" s="3">
        <v>2</v>
      </c>
      <c r="K215" s="3">
        <v>19</v>
      </c>
      <c r="L215" s="2" t="s">
        <v>113</v>
      </c>
      <c r="M215" s="2" t="s">
        <v>658</v>
      </c>
      <c r="N215" s="3">
        <v>6.75</v>
      </c>
      <c r="O215" s="3">
        <v>22.2</v>
      </c>
      <c r="P215" s="3">
        <v>39.200000000000003</v>
      </c>
      <c r="Q215" s="9">
        <f t="shared" si="15"/>
        <v>5.9676136363636365</v>
      </c>
      <c r="R215" s="10">
        <f t="shared" si="16"/>
        <v>468.85779380031374</v>
      </c>
      <c r="S215" s="11">
        <f t="shared" si="17"/>
        <v>418.24959304220675</v>
      </c>
      <c r="T215" s="7">
        <v>63.5</v>
      </c>
      <c r="U215" s="7">
        <v>46.2</v>
      </c>
    </row>
    <row r="216" spans="1:21" x14ac:dyDescent="0.25">
      <c r="A216" s="4">
        <v>2023</v>
      </c>
      <c r="B216" s="3" t="s">
        <v>201</v>
      </c>
      <c r="C216" s="3" t="s">
        <v>202</v>
      </c>
      <c r="D216" s="3" t="s">
        <v>203</v>
      </c>
      <c r="E216" s="3" t="s">
        <v>204</v>
      </c>
      <c r="F216" s="3" t="s">
        <v>237</v>
      </c>
      <c r="G216" s="3">
        <v>410</v>
      </c>
      <c r="H216" s="3">
        <v>4</v>
      </c>
      <c r="I216" s="3">
        <v>10</v>
      </c>
      <c r="J216" s="3">
        <v>2</v>
      </c>
      <c r="K216" s="3">
        <v>5</v>
      </c>
      <c r="L216" s="2" t="s">
        <v>56</v>
      </c>
      <c r="M216" s="2" t="s">
        <v>30</v>
      </c>
      <c r="N216" s="3">
        <v>7.56</v>
      </c>
      <c r="O216" s="3">
        <v>14.7</v>
      </c>
      <c r="P216" s="3">
        <v>30.5</v>
      </c>
      <c r="Q216" s="9">
        <f t="shared" si="15"/>
        <v>7.3280454545454541</v>
      </c>
      <c r="R216" s="10">
        <f t="shared" si="16"/>
        <v>575.7429073072849</v>
      </c>
      <c r="S216" s="11">
        <f t="shared" si="17"/>
        <v>513.59759795475907</v>
      </c>
      <c r="T216" s="7">
        <v>65.7</v>
      </c>
      <c r="U216" s="7">
        <v>46.1</v>
      </c>
    </row>
    <row r="217" spans="1:21" x14ac:dyDescent="0.25">
      <c r="A217" s="4">
        <v>2023</v>
      </c>
      <c r="B217" s="3" t="s">
        <v>201</v>
      </c>
      <c r="C217" s="3" t="s">
        <v>202</v>
      </c>
      <c r="D217" s="3" t="s">
        <v>203</v>
      </c>
      <c r="E217" s="3" t="s">
        <v>204</v>
      </c>
      <c r="F217" s="3" t="s">
        <v>238</v>
      </c>
      <c r="G217" s="3">
        <v>411</v>
      </c>
      <c r="H217" s="3">
        <v>4</v>
      </c>
      <c r="I217" s="3">
        <v>11</v>
      </c>
      <c r="J217" s="3">
        <v>3</v>
      </c>
      <c r="K217" s="3">
        <v>19</v>
      </c>
      <c r="L217" s="2" t="s">
        <v>113</v>
      </c>
      <c r="M217" s="2" t="s">
        <v>658</v>
      </c>
      <c r="N217" s="3">
        <v>6.28</v>
      </c>
      <c r="O217" s="3">
        <v>19.899999999999999</v>
      </c>
      <c r="P217" s="3">
        <v>36.700000000000003</v>
      </c>
      <c r="Q217" s="9">
        <f t="shared" si="15"/>
        <v>5.7162272727272727</v>
      </c>
      <c r="R217" s="10">
        <f t="shared" si="16"/>
        <v>449.10710901606058</v>
      </c>
      <c r="S217" s="11">
        <f t="shared" si="17"/>
        <v>400.63078413564727</v>
      </c>
      <c r="T217" s="7">
        <v>62.4</v>
      </c>
      <c r="U217" s="7">
        <v>43.1</v>
      </c>
    </row>
    <row r="218" spans="1:21" x14ac:dyDescent="0.25">
      <c r="A218" s="4">
        <v>2023</v>
      </c>
      <c r="B218" s="3" t="s">
        <v>201</v>
      </c>
      <c r="C218" s="3" t="s">
        <v>202</v>
      </c>
      <c r="D218" s="3" t="s">
        <v>203</v>
      </c>
      <c r="E218" s="3" t="s">
        <v>204</v>
      </c>
      <c r="F218" s="3" t="s">
        <v>239</v>
      </c>
      <c r="G218" s="3">
        <v>412</v>
      </c>
      <c r="H218" s="3">
        <v>4</v>
      </c>
      <c r="I218" s="3">
        <v>12</v>
      </c>
      <c r="J218" s="3">
        <v>3</v>
      </c>
      <c r="K218" s="3">
        <v>6</v>
      </c>
      <c r="L218" s="2" t="s">
        <v>56</v>
      </c>
      <c r="M218" s="2" t="s">
        <v>53</v>
      </c>
      <c r="N218" s="3">
        <v>7.25</v>
      </c>
      <c r="O218" s="3">
        <v>14.7</v>
      </c>
      <c r="P218" s="3">
        <v>31.4</v>
      </c>
      <c r="Q218" s="9">
        <f t="shared" si="15"/>
        <v>7.027556818181818</v>
      </c>
      <c r="R218" s="10">
        <f t="shared" si="16"/>
        <v>552.13440184891738</v>
      </c>
      <c r="S218" s="11">
        <f t="shared" si="17"/>
        <v>492.53737899100571</v>
      </c>
      <c r="T218" s="7">
        <v>65.099999999999994</v>
      </c>
      <c r="U218" s="7">
        <v>47.1</v>
      </c>
    </row>
    <row r="219" spans="1:21" x14ac:dyDescent="0.25">
      <c r="A219" s="4">
        <v>2023</v>
      </c>
      <c r="B219" s="3" t="s">
        <v>201</v>
      </c>
      <c r="C219" s="3" t="s">
        <v>202</v>
      </c>
      <c r="D219" s="3" t="s">
        <v>203</v>
      </c>
      <c r="E219" s="3" t="s">
        <v>204</v>
      </c>
      <c r="F219" s="3" t="s">
        <v>240</v>
      </c>
      <c r="G219" s="3">
        <v>413</v>
      </c>
      <c r="H219" s="3">
        <v>4</v>
      </c>
      <c r="I219" s="3">
        <v>13</v>
      </c>
      <c r="J219" s="3">
        <v>3</v>
      </c>
      <c r="K219" s="3">
        <v>7</v>
      </c>
      <c r="L219" s="2" t="s">
        <v>69</v>
      </c>
      <c r="M219" s="2" t="s">
        <v>658</v>
      </c>
      <c r="N219" s="3">
        <v>8.66</v>
      </c>
      <c r="O219" s="3">
        <v>14.3</v>
      </c>
      <c r="P219" s="3">
        <v>33.6</v>
      </c>
      <c r="Q219" s="9">
        <f t="shared" si="15"/>
        <v>8.4336590909090905</v>
      </c>
      <c r="R219" s="10">
        <f t="shared" si="16"/>
        <v>662.60770820228208</v>
      </c>
      <c r="S219" s="11">
        <f t="shared" si="17"/>
        <v>591.08626958276727</v>
      </c>
      <c r="T219" s="7">
        <v>60.6</v>
      </c>
      <c r="U219" s="7">
        <v>35</v>
      </c>
    </row>
    <row r="220" spans="1:21" x14ac:dyDescent="0.25">
      <c r="A220" s="4">
        <v>2023</v>
      </c>
      <c r="B220" s="3" t="s">
        <v>201</v>
      </c>
      <c r="C220" s="3" t="s">
        <v>202</v>
      </c>
      <c r="D220" s="3" t="s">
        <v>203</v>
      </c>
      <c r="E220" s="3" t="s">
        <v>204</v>
      </c>
      <c r="F220" s="3" t="s">
        <v>241</v>
      </c>
      <c r="G220" s="3">
        <v>414</v>
      </c>
      <c r="H220" s="3">
        <v>4</v>
      </c>
      <c r="I220" s="3">
        <v>14</v>
      </c>
      <c r="J220" s="3">
        <v>3</v>
      </c>
      <c r="K220" s="3">
        <v>12</v>
      </c>
      <c r="L220" s="2" t="s">
        <v>27</v>
      </c>
      <c r="M220" s="2" t="s">
        <v>53</v>
      </c>
      <c r="N220" s="3">
        <v>4.38</v>
      </c>
      <c r="O220" s="3">
        <v>17.7</v>
      </c>
      <c r="P220" s="3">
        <v>28</v>
      </c>
      <c r="Q220" s="9">
        <f t="shared" si="15"/>
        <v>4.0962954545454542</v>
      </c>
      <c r="R220" s="10">
        <f t="shared" si="16"/>
        <v>321.83384625797254</v>
      </c>
      <c r="S220" s="11">
        <f t="shared" si="17"/>
        <v>287.09531334341887</v>
      </c>
      <c r="T220" s="7">
        <v>66.5</v>
      </c>
      <c r="U220" s="7">
        <v>50</v>
      </c>
    </row>
    <row r="221" spans="1:21" x14ac:dyDescent="0.25">
      <c r="A221" s="4">
        <v>2023</v>
      </c>
      <c r="B221" s="3" t="s">
        <v>201</v>
      </c>
      <c r="C221" s="3" t="s">
        <v>202</v>
      </c>
      <c r="D221" s="3" t="s">
        <v>203</v>
      </c>
      <c r="E221" s="3" t="s">
        <v>204</v>
      </c>
      <c r="F221" s="3" t="s">
        <v>242</v>
      </c>
      <c r="G221" s="3">
        <v>415</v>
      </c>
      <c r="H221" s="3">
        <v>4</v>
      </c>
      <c r="I221" s="3">
        <v>15</v>
      </c>
      <c r="J221" s="3">
        <v>3</v>
      </c>
      <c r="K221" s="3">
        <v>18</v>
      </c>
      <c r="L221" s="2" t="s">
        <v>42</v>
      </c>
      <c r="M221" s="2" t="s">
        <v>53</v>
      </c>
      <c r="N221" s="3">
        <v>6.12</v>
      </c>
      <c r="O221" s="3">
        <v>16.600000000000001</v>
      </c>
      <c r="P221" s="3">
        <v>32.9</v>
      </c>
      <c r="Q221" s="9">
        <f t="shared" si="15"/>
        <v>5.8000909090909092</v>
      </c>
      <c r="R221" s="10">
        <f t="shared" si="16"/>
        <v>455.69602745507092</v>
      </c>
      <c r="S221" s="11">
        <f t="shared" si="17"/>
        <v>406.50849906785987</v>
      </c>
      <c r="T221" s="7">
        <v>61.6</v>
      </c>
      <c r="U221" s="7">
        <v>48.2</v>
      </c>
    </row>
    <row r="222" spans="1:21" x14ac:dyDescent="0.25">
      <c r="A222" s="4">
        <v>2023</v>
      </c>
      <c r="B222" s="3" t="s">
        <v>243</v>
      </c>
      <c r="C222" s="3" t="s">
        <v>244</v>
      </c>
      <c r="D222" s="3" t="s">
        <v>245</v>
      </c>
      <c r="E222" s="3" t="s">
        <v>246</v>
      </c>
      <c r="F222" s="3" t="s">
        <v>247</v>
      </c>
      <c r="G222" s="3">
        <v>101</v>
      </c>
      <c r="H222" s="3">
        <v>1</v>
      </c>
      <c r="I222" s="3">
        <v>1</v>
      </c>
      <c r="J222" s="3">
        <v>1</v>
      </c>
      <c r="K222" s="3">
        <v>1</v>
      </c>
      <c r="L222" s="6" t="s">
        <v>100</v>
      </c>
      <c r="M222" s="6" t="s">
        <v>658</v>
      </c>
      <c r="N222" s="3">
        <v>10.87</v>
      </c>
      <c r="O222" s="3">
        <v>9.8699999999999992</v>
      </c>
      <c r="P222" s="3">
        <v>45.6</v>
      </c>
      <c r="Q222" s="9">
        <f t="shared" ref="Q222:Q253" si="18">N222*(1-O222/100)/(1-0.12)</f>
        <v>11.133103409090907</v>
      </c>
      <c r="R222" s="10">
        <f t="shared" ref="R222:R253" si="19">((10000*Q222*12%/2.205))/((4.66*16)/10.764)</f>
        <v>874.69508259214706</v>
      </c>
      <c r="S222" s="10">
        <f t="shared" ref="S222:S253" si="20">R222/1.121</f>
        <v>780.2810727851446</v>
      </c>
      <c r="T222" s="7">
        <v>72.400000000000006</v>
      </c>
      <c r="U222" s="7">
        <v>57.7</v>
      </c>
    </row>
    <row r="223" spans="1:21" x14ac:dyDescent="0.25">
      <c r="A223" s="4">
        <v>2023</v>
      </c>
      <c r="B223" s="3" t="s">
        <v>243</v>
      </c>
      <c r="C223" s="3" t="s">
        <v>244</v>
      </c>
      <c r="D223" s="3" t="s">
        <v>245</v>
      </c>
      <c r="E223" s="3" t="s">
        <v>246</v>
      </c>
      <c r="F223" s="3" t="s">
        <v>248</v>
      </c>
      <c r="G223" s="3">
        <v>102</v>
      </c>
      <c r="H223" s="3">
        <v>2</v>
      </c>
      <c r="I223" s="3">
        <v>1</v>
      </c>
      <c r="J223" s="3">
        <v>1</v>
      </c>
      <c r="K223" s="3">
        <v>16</v>
      </c>
      <c r="L223" s="6" t="s">
        <v>42</v>
      </c>
      <c r="M223" s="6" t="s">
        <v>658</v>
      </c>
      <c r="N223" s="3">
        <v>10.78</v>
      </c>
      <c r="O223" s="3">
        <v>16.5</v>
      </c>
      <c r="P223" s="3">
        <v>46</v>
      </c>
      <c r="Q223" s="9">
        <f t="shared" si="18"/>
        <v>10.228749999999998</v>
      </c>
      <c r="R223" s="10">
        <f t="shared" si="19"/>
        <v>803.64270386266082</v>
      </c>
      <c r="S223" s="10">
        <f t="shared" si="20"/>
        <v>716.89804091227552</v>
      </c>
      <c r="T223" s="7">
        <v>73</v>
      </c>
      <c r="U223" s="7">
        <v>67.099999999999994</v>
      </c>
    </row>
    <row r="224" spans="1:21" x14ac:dyDescent="0.25">
      <c r="A224" s="4">
        <v>2023</v>
      </c>
      <c r="B224" s="3" t="s">
        <v>243</v>
      </c>
      <c r="C224" s="3" t="s">
        <v>244</v>
      </c>
      <c r="D224" s="3" t="s">
        <v>245</v>
      </c>
      <c r="E224" s="3" t="s">
        <v>246</v>
      </c>
      <c r="F224" s="3" t="s">
        <v>249</v>
      </c>
      <c r="G224" s="3">
        <v>103</v>
      </c>
      <c r="H224" s="3">
        <v>3</v>
      </c>
      <c r="I224" s="3">
        <v>1</v>
      </c>
      <c r="J224" s="3">
        <v>1</v>
      </c>
      <c r="K224" s="3">
        <v>11</v>
      </c>
      <c r="L224" s="6" t="s">
        <v>27</v>
      </c>
      <c r="M224" s="2" t="s">
        <v>30</v>
      </c>
      <c r="N224" s="3">
        <v>10.91</v>
      </c>
      <c r="O224" s="3">
        <v>20.100000000000001</v>
      </c>
      <c r="P224" s="3">
        <v>44.8</v>
      </c>
      <c r="Q224" s="9">
        <f t="shared" si="18"/>
        <v>9.9057840909090888</v>
      </c>
      <c r="R224" s="10">
        <f t="shared" si="19"/>
        <v>778.26822541345814</v>
      </c>
      <c r="S224" s="10">
        <f t="shared" si="20"/>
        <v>694.26246691655501</v>
      </c>
      <c r="T224" s="7">
        <v>75.2</v>
      </c>
      <c r="U224" s="7">
        <v>68</v>
      </c>
    </row>
    <row r="225" spans="1:21" x14ac:dyDescent="0.25">
      <c r="A225" s="4">
        <v>2023</v>
      </c>
      <c r="B225" s="3" t="s">
        <v>243</v>
      </c>
      <c r="C225" s="3" t="s">
        <v>244</v>
      </c>
      <c r="D225" s="3" t="s">
        <v>245</v>
      </c>
      <c r="E225" s="3" t="s">
        <v>246</v>
      </c>
      <c r="F225" s="3" t="s">
        <v>250</v>
      </c>
      <c r="G225" s="3">
        <v>104</v>
      </c>
      <c r="H225" s="3">
        <v>4</v>
      </c>
      <c r="I225" s="3">
        <v>1</v>
      </c>
      <c r="J225" s="3">
        <v>1</v>
      </c>
      <c r="K225" s="3">
        <v>4</v>
      </c>
      <c r="L225" s="6" t="s">
        <v>56</v>
      </c>
      <c r="M225" s="6" t="s">
        <v>658</v>
      </c>
      <c r="N225" s="3">
        <v>13.65</v>
      </c>
      <c r="O225" s="3">
        <v>17.600000000000001</v>
      </c>
      <c r="P225" s="3">
        <v>45.8</v>
      </c>
      <c r="Q225" s="9">
        <f t="shared" si="18"/>
        <v>12.781363636363636</v>
      </c>
      <c r="R225" s="10">
        <f t="shared" si="19"/>
        <v>1004.1940248592608</v>
      </c>
      <c r="S225" s="10">
        <f t="shared" si="20"/>
        <v>895.80198470942094</v>
      </c>
      <c r="T225" s="7">
        <v>73.3</v>
      </c>
      <c r="U225" s="7">
        <v>64.5</v>
      </c>
    </row>
    <row r="226" spans="1:21" x14ac:dyDescent="0.25">
      <c r="A226" s="4">
        <v>2023</v>
      </c>
      <c r="B226" s="3" t="s">
        <v>243</v>
      </c>
      <c r="C226" s="3" t="s">
        <v>244</v>
      </c>
      <c r="D226" s="3" t="s">
        <v>245</v>
      </c>
      <c r="E226" s="3" t="s">
        <v>246</v>
      </c>
      <c r="F226" s="3" t="s">
        <v>251</v>
      </c>
      <c r="G226" s="3">
        <v>105</v>
      </c>
      <c r="H226" s="3">
        <v>5</v>
      </c>
      <c r="I226" s="3">
        <v>1</v>
      </c>
      <c r="J226" s="3">
        <v>1</v>
      </c>
      <c r="K226" s="3">
        <v>2</v>
      </c>
      <c r="L226" s="6" t="s">
        <v>100</v>
      </c>
      <c r="M226" s="2" t="s">
        <v>30</v>
      </c>
      <c r="N226" s="3">
        <v>13.51</v>
      </c>
      <c r="O226" s="3">
        <v>20.5</v>
      </c>
      <c r="P226" s="3">
        <v>44.9</v>
      </c>
      <c r="Q226" s="9">
        <f t="shared" si="18"/>
        <v>12.20505681818182</v>
      </c>
      <c r="R226" s="10">
        <f t="shared" si="19"/>
        <v>958.91529875703714</v>
      </c>
      <c r="S226" s="10">
        <f t="shared" si="20"/>
        <v>855.41061441305726</v>
      </c>
      <c r="T226" s="7">
        <v>72.8</v>
      </c>
      <c r="U226" s="7">
        <v>60</v>
      </c>
    </row>
    <row r="227" spans="1:21" x14ac:dyDescent="0.25">
      <c r="A227" s="4">
        <v>2023</v>
      </c>
      <c r="B227" s="3" t="s">
        <v>243</v>
      </c>
      <c r="C227" s="3" t="s">
        <v>244</v>
      </c>
      <c r="D227" s="3" t="s">
        <v>245</v>
      </c>
      <c r="E227" s="3" t="s">
        <v>246</v>
      </c>
      <c r="F227" s="3" t="s">
        <v>252</v>
      </c>
      <c r="G227" s="3">
        <v>106</v>
      </c>
      <c r="H227" s="3">
        <v>6</v>
      </c>
      <c r="I227" s="3">
        <v>1</v>
      </c>
      <c r="J227" s="3">
        <v>1</v>
      </c>
      <c r="K227" s="3">
        <v>14</v>
      </c>
      <c r="L227" s="6" t="s">
        <v>87</v>
      </c>
      <c r="M227" s="2" t="s">
        <v>30</v>
      </c>
      <c r="N227" s="3">
        <v>8.57</v>
      </c>
      <c r="O227" s="3">
        <v>15.6</v>
      </c>
      <c r="P227" s="3">
        <v>46.2</v>
      </c>
      <c r="Q227" s="9">
        <f t="shared" si="18"/>
        <v>8.2194090909090907</v>
      </c>
      <c r="R227" s="10">
        <f t="shared" si="19"/>
        <v>645.77471792462597</v>
      </c>
      <c r="S227" s="10">
        <f t="shared" si="20"/>
        <v>576.07022116380551</v>
      </c>
      <c r="T227" s="7">
        <v>71</v>
      </c>
      <c r="U227" s="7">
        <v>51.7</v>
      </c>
    </row>
    <row r="228" spans="1:21" x14ac:dyDescent="0.25">
      <c r="A228" s="4">
        <v>2023</v>
      </c>
      <c r="B228" s="3" t="s">
        <v>243</v>
      </c>
      <c r="C228" s="3" t="s">
        <v>244</v>
      </c>
      <c r="D228" s="3" t="s">
        <v>245</v>
      </c>
      <c r="E228" s="3" t="s">
        <v>246</v>
      </c>
      <c r="F228" s="3" t="s">
        <v>253</v>
      </c>
      <c r="G228" s="3">
        <v>107</v>
      </c>
      <c r="H228" s="3">
        <v>7</v>
      </c>
      <c r="I228" s="3">
        <v>1</v>
      </c>
      <c r="J228" s="3">
        <v>1</v>
      </c>
      <c r="K228" s="3">
        <v>6</v>
      </c>
      <c r="L228" s="6" t="s">
        <v>56</v>
      </c>
      <c r="M228" s="2" t="s">
        <v>53</v>
      </c>
      <c r="N228" s="3">
        <v>13.72</v>
      </c>
      <c r="O228" s="3">
        <v>18.899999999999999</v>
      </c>
      <c r="P228" s="3">
        <v>45.2</v>
      </c>
      <c r="Q228" s="9">
        <f t="shared" si="18"/>
        <v>12.644227272727274</v>
      </c>
      <c r="R228" s="10">
        <f t="shared" si="19"/>
        <v>993.41962543893885</v>
      </c>
      <c r="S228" s="10">
        <f t="shared" si="20"/>
        <v>886.19056685007922</v>
      </c>
      <c r="T228" s="7">
        <v>72.8</v>
      </c>
      <c r="U228" s="7">
        <v>64</v>
      </c>
    </row>
    <row r="229" spans="1:21" x14ac:dyDescent="0.25">
      <c r="A229" s="4">
        <v>2023</v>
      </c>
      <c r="B229" s="3" t="s">
        <v>243</v>
      </c>
      <c r="C229" s="3" t="s">
        <v>244</v>
      </c>
      <c r="D229" s="3" t="s">
        <v>245</v>
      </c>
      <c r="E229" s="3" t="s">
        <v>246</v>
      </c>
      <c r="F229" s="3" t="s">
        <v>254</v>
      </c>
      <c r="G229" s="3">
        <v>108</v>
      </c>
      <c r="H229" s="3">
        <v>8</v>
      </c>
      <c r="I229" s="3">
        <v>1</v>
      </c>
      <c r="J229" s="3">
        <v>1</v>
      </c>
      <c r="K229" s="3">
        <v>8</v>
      </c>
      <c r="L229" s="6" t="s">
        <v>69</v>
      </c>
      <c r="M229" s="2" t="s">
        <v>30</v>
      </c>
      <c r="N229" s="3">
        <v>12.7</v>
      </c>
      <c r="O229" s="3">
        <v>16.8</v>
      </c>
      <c r="P229" s="3">
        <v>46.1</v>
      </c>
      <c r="Q229" s="9">
        <f t="shared" si="18"/>
        <v>12.007272727272728</v>
      </c>
      <c r="R229" s="10">
        <f t="shared" si="19"/>
        <v>943.37598636801579</v>
      </c>
      <c r="S229" s="10">
        <f t="shared" si="20"/>
        <v>841.54860514541997</v>
      </c>
      <c r="T229" s="7">
        <v>72.3</v>
      </c>
      <c r="U229" s="7">
        <v>60.7</v>
      </c>
    </row>
    <row r="230" spans="1:21" x14ac:dyDescent="0.25">
      <c r="A230" s="4">
        <v>2023</v>
      </c>
      <c r="B230" s="3" t="s">
        <v>243</v>
      </c>
      <c r="C230" s="3" t="s">
        <v>244</v>
      </c>
      <c r="D230" s="3" t="s">
        <v>245</v>
      </c>
      <c r="E230" s="3" t="s">
        <v>246</v>
      </c>
      <c r="F230" s="3" t="s">
        <v>255</v>
      </c>
      <c r="G230" s="3">
        <v>109</v>
      </c>
      <c r="H230" s="3">
        <v>9</v>
      </c>
      <c r="I230" s="3">
        <v>1</v>
      </c>
      <c r="J230" s="3">
        <v>1</v>
      </c>
      <c r="K230" s="3">
        <v>13</v>
      </c>
      <c r="L230" s="6" t="s">
        <v>87</v>
      </c>
      <c r="M230" s="6" t="s">
        <v>658</v>
      </c>
      <c r="N230" s="3">
        <v>8.02</v>
      </c>
      <c r="O230" s="3">
        <v>15.4</v>
      </c>
      <c r="P230" s="3">
        <v>46.3</v>
      </c>
      <c r="Q230" s="9">
        <f t="shared" si="18"/>
        <v>7.7101363636363631</v>
      </c>
      <c r="R230" s="10">
        <f t="shared" si="19"/>
        <v>605.76266253672748</v>
      </c>
      <c r="S230" s="10">
        <f t="shared" si="20"/>
        <v>540.37704062152318</v>
      </c>
      <c r="T230" s="7">
        <v>70.8</v>
      </c>
      <c r="U230" s="7">
        <v>48.6</v>
      </c>
    </row>
    <row r="231" spans="1:21" x14ac:dyDescent="0.25">
      <c r="A231" s="4">
        <v>2023</v>
      </c>
      <c r="B231" s="3" t="s">
        <v>243</v>
      </c>
      <c r="C231" s="3" t="s">
        <v>244</v>
      </c>
      <c r="D231" s="3" t="s">
        <v>245</v>
      </c>
      <c r="E231" s="3" t="s">
        <v>246</v>
      </c>
      <c r="F231" s="3" t="s">
        <v>256</v>
      </c>
      <c r="G231" s="3">
        <v>110</v>
      </c>
      <c r="H231" s="3">
        <v>10</v>
      </c>
      <c r="I231" s="3">
        <v>1</v>
      </c>
      <c r="J231" s="3">
        <v>1</v>
      </c>
      <c r="K231" s="3">
        <v>7</v>
      </c>
      <c r="L231" s="6" t="s">
        <v>69</v>
      </c>
      <c r="M231" s="6" t="s">
        <v>658</v>
      </c>
      <c r="N231" s="3">
        <v>12.89</v>
      </c>
      <c r="O231" s="3">
        <v>16.2</v>
      </c>
      <c r="P231" s="3">
        <v>46.4</v>
      </c>
      <c r="Q231" s="9">
        <f t="shared" si="18"/>
        <v>12.274795454545453</v>
      </c>
      <c r="R231" s="10">
        <f t="shared" si="19"/>
        <v>964.39445762698347</v>
      </c>
      <c r="S231" s="10">
        <f t="shared" si="20"/>
        <v>860.29835649151073</v>
      </c>
      <c r="T231" s="7">
        <v>72.099999999999994</v>
      </c>
      <c r="U231" s="7">
        <v>59.1</v>
      </c>
    </row>
    <row r="232" spans="1:21" x14ac:dyDescent="0.25">
      <c r="A232" s="4">
        <v>2023</v>
      </c>
      <c r="B232" s="3" t="s">
        <v>243</v>
      </c>
      <c r="C232" s="3" t="s">
        <v>244</v>
      </c>
      <c r="D232" s="3" t="s">
        <v>245</v>
      </c>
      <c r="E232" s="3" t="s">
        <v>246</v>
      </c>
      <c r="F232" s="3" t="s">
        <v>257</v>
      </c>
      <c r="G232" s="3">
        <v>111</v>
      </c>
      <c r="H232" s="3">
        <v>11</v>
      </c>
      <c r="I232" s="3">
        <v>1</v>
      </c>
      <c r="J232" s="3">
        <v>1</v>
      </c>
      <c r="K232" s="3">
        <v>15</v>
      </c>
      <c r="L232" s="6" t="s">
        <v>87</v>
      </c>
      <c r="M232" s="2" t="s">
        <v>53</v>
      </c>
      <c r="N232" s="3">
        <v>6.9</v>
      </c>
      <c r="O232" s="3">
        <v>16</v>
      </c>
      <c r="P232" s="3">
        <v>45.9</v>
      </c>
      <c r="Q232" s="9">
        <f t="shared" si="18"/>
        <v>6.5863636363636369</v>
      </c>
      <c r="R232" s="10">
        <f t="shared" si="19"/>
        <v>517.4711554539881</v>
      </c>
      <c r="S232" s="10">
        <f t="shared" si="20"/>
        <v>461.61566052987342</v>
      </c>
      <c r="T232" s="7">
        <v>70.5</v>
      </c>
      <c r="U232" s="7">
        <v>48</v>
      </c>
    </row>
    <row r="233" spans="1:21" x14ac:dyDescent="0.25">
      <c r="A233" s="4">
        <v>2023</v>
      </c>
      <c r="B233" s="3" t="s">
        <v>243</v>
      </c>
      <c r="C233" s="3" t="s">
        <v>244</v>
      </c>
      <c r="D233" s="3" t="s">
        <v>245</v>
      </c>
      <c r="E233" s="3" t="s">
        <v>246</v>
      </c>
      <c r="F233" s="3" t="s">
        <v>258</v>
      </c>
      <c r="G233" s="3">
        <v>112</v>
      </c>
      <c r="H233" s="3">
        <v>12</v>
      </c>
      <c r="I233" s="3">
        <v>1</v>
      </c>
      <c r="J233" s="3">
        <v>1</v>
      </c>
      <c r="K233" s="3">
        <v>12</v>
      </c>
      <c r="L233" s="6" t="s">
        <v>27</v>
      </c>
      <c r="M233" s="2" t="s">
        <v>53</v>
      </c>
      <c r="N233" s="3">
        <v>11.34</v>
      </c>
      <c r="O233" s="3">
        <v>21.9</v>
      </c>
      <c r="P233" s="3">
        <v>44.4</v>
      </c>
      <c r="Q233" s="9">
        <f t="shared" si="18"/>
        <v>10.064250000000001</v>
      </c>
      <c r="R233" s="10">
        <f t="shared" si="19"/>
        <v>790.71842427958313</v>
      </c>
      <c r="S233" s="10">
        <f t="shared" si="20"/>
        <v>705.36879953575658</v>
      </c>
      <c r="T233" s="7">
        <v>74.7</v>
      </c>
      <c r="U233" s="7">
        <v>67.7</v>
      </c>
    </row>
    <row r="234" spans="1:21" x14ac:dyDescent="0.25">
      <c r="A234" s="4">
        <v>2023</v>
      </c>
      <c r="B234" s="3" t="s">
        <v>243</v>
      </c>
      <c r="C234" s="3" t="s">
        <v>244</v>
      </c>
      <c r="D234" s="3" t="s">
        <v>245</v>
      </c>
      <c r="E234" s="3" t="s">
        <v>246</v>
      </c>
      <c r="F234" s="3" t="s">
        <v>259</v>
      </c>
      <c r="G234" s="3">
        <v>113</v>
      </c>
      <c r="H234" s="3">
        <v>13</v>
      </c>
      <c r="I234" s="3">
        <v>1</v>
      </c>
      <c r="J234" s="3">
        <v>1</v>
      </c>
      <c r="K234" s="3">
        <v>10</v>
      </c>
      <c r="L234" s="6" t="s">
        <v>27</v>
      </c>
      <c r="M234" s="6" t="s">
        <v>658</v>
      </c>
      <c r="N234" s="3">
        <v>10.71</v>
      </c>
      <c r="O234" s="3">
        <v>20.3</v>
      </c>
      <c r="P234" s="3">
        <v>44.9</v>
      </c>
      <c r="Q234" s="9">
        <f t="shared" si="18"/>
        <v>9.6998522727272718</v>
      </c>
      <c r="R234" s="10">
        <f t="shared" si="19"/>
        <v>762.08877013544384</v>
      </c>
      <c r="S234" s="10">
        <f t="shared" si="20"/>
        <v>679.82941136078841</v>
      </c>
      <c r="T234" s="7">
        <v>74.599999999999994</v>
      </c>
      <c r="U234" s="7">
        <v>68.099999999999994</v>
      </c>
    </row>
    <row r="235" spans="1:21" x14ac:dyDescent="0.25">
      <c r="A235" s="4">
        <v>2023</v>
      </c>
      <c r="B235" s="3" t="s">
        <v>243</v>
      </c>
      <c r="C235" s="3" t="s">
        <v>244</v>
      </c>
      <c r="D235" s="3" t="s">
        <v>245</v>
      </c>
      <c r="E235" s="3" t="s">
        <v>246</v>
      </c>
      <c r="F235" s="3" t="s">
        <v>260</v>
      </c>
      <c r="G235" s="3">
        <v>114</v>
      </c>
      <c r="H235" s="3">
        <v>14</v>
      </c>
      <c r="I235" s="3">
        <v>1</v>
      </c>
      <c r="J235" s="3">
        <v>1</v>
      </c>
      <c r="K235" s="3">
        <v>3</v>
      </c>
      <c r="L235" s="6" t="s">
        <v>100</v>
      </c>
      <c r="M235" s="2" t="s">
        <v>53</v>
      </c>
      <c r="N235" s="3">
        <v>10.48</v>
      </c>
      <c r="O235" s="3">
        <v>18.8</v>
      </c>
      <c r="P235" s="3">
        <v>45.4</v>
      </c>
      <c r="Q235" s="9">
        <f t="shared" si="18"/>
        <v>9.6701818181818204</v>
      </c>
      <c r="R235" s="10">
        <f t="shared" si="19"/>
        <v>759.75765007524672</v>
      </c>
      <c r="S235" s="10">
        <f t="shared" si="20"/>
        <v>677.74991086105865</v>
      </c>
      <c r="T235" s="7">
        <v>72.8</v>
      </c>
      <c r="U235" s="7">
        <v>60.8</v>
      </c>
    </row>
    <row r="236" spans="1:21" x14ac:dyDescent="0.25">
      <c r="A236" s="4">
        <v>2023</v>
      </c>
      <c r="B236" s="3" t="s">
        <v>243</v>
      </c>
      <c r="C236" s="3" t="s">
        <v>244</v>
      </c>
      <c r="D236" s="3" t="s">
        <v>245</v>
      </c>
      <c r="E236" s="3" t="s">
        <v>246</v>
      </c>
      <c r="F236" s="3" t="s">
        <v>261</v>
      </c>
      <c r="G236" s="3">
        <v>201</v>
      </c>
      <c r="H236" s="3">
        <v>1</v>
      </c>
      <c r="I236" s="3">
        <v>2</v>
      </c>
      <c r="J236" s="3">
        <v>1</v>
      </c>
      <c r="K236" s="3">
        <v>20</v>
      </c>
      <c r="L236" s="6" t="s">
        <v>82</v>
      </c>
      <c r="M236" s="6" t="s">
        <v>658</v>
      </c>
      <c r="N236" s="3">
        <v>12.41</v>
      </c>
      <c r="O236" s="3">
        <v>11.4</v>
      </c>
      <c r="P236" s="3">
        <v>45.4</v>
      </c>
      <c r="Q236" s="9">
        <f t="shared" si="18"/>
        <v>12.494613636363637</v>
      </c>
      <c r="R236" s="10">
        <f t="shared" si="19"/>
        <v>981.66492351915394</v>
      </c>
      <c r="S236" s="10">
        <f t="shared" si="20"/>
        <v>875.70465969594466</v>
      </c>
      <c r="T236" s="7">
        <v>73</v>
      </c>
      <c r="U236" s="7">
        <v>64.8</v>
      </c>
    </row>
    <row r="237" spans="1:21" x14ac:dyDescent="0.25">
      <c r="A237" s="4">
        <v>2023</v>
      </c>
      <c r="B237" s="3" t="s">
        <v>243</v>
      </c>
      <c r="C237" s="3" t="s">
        <v>244</v>
      </c>
      <c r="D237" s="3" t="s">
        <v>245</v>
      </c>
      <c r="E237" s="3" t="s">
        <v>246</v>
      </c>
      <c r="F237" s="3" t="s">
        <v>262</v>
      </c>
      <c r="G237" s="3">
        <v>202</v>
      </c>
      <c r="H237" s="3">
        <v>2</v>
      </c>
      <c r="I237" s="3">
        <v>2</v>
      </c>
      <c r="J237" s="3">
        <v>1</v>
      </c>
      <c r="K237" s="3">
        <v>5</v>
      </c>
      <c r="L237" s="6" t="s">
        <v>56</v>
      </c>
      <c r="M237" s="2" t="s">
        <v>30</v>
      </c>
      <c r="N237" s="3">
        <v>13.95</v>
      </c>
      <c r="O237" s="3">
        <v>8.5399999999999991</v>
      </c>
      <c r="P237" s="3">
        <v>46.1</v>
      </c>
      <c r="Q237" s="9">
        <f t="shared" si="18"/>
        <v>14.498488636363636</v>
      </c>
      <c r="R237" s="10">
        <f t="shared" si="19"/>
        <v>1139.1034691090638</v>
      </c>
      <c r="S237" s="10">
        <f t="shared" si="20"/>
        <v>1016.1493926039819</v>
      </c>
      <c r="T237" s="7">
        <v>73.099999999999994</v>
      </c>
      <c r="U237" s="7">
        <v>64.400000000000006</v>
      </c>
    </row>
    <row r="238" spans="1:21" x14ac:dyDescent="0.25">
      <c r="A238" s="4">
        <v>2023</v>
      </c>
      <c r="B238" s="3" t="s">
        <v>243</v>
      </c>
      <c r="C238" s="3" t="s">
        <v>244</v>
      </c>
      <c r="D238" s="3" t="s">
        <v>245</v>
      </c>
      <c r="E238" s="3" t="s">
        <v>246</v>
      </c>
      <c r="F238" s="3" t="s">
        <v>263</v>
      </c>
      <c r="G238" s="3">
        <v>203</v>
      </c>
      <c r="H238" s="3">
        <v>3</v>
      </c>
      <c r="I238" s="3">
        <v>2</v>
      </c>
      <c r="J238" s="3">
        <v>1</v>
      </c>
      <c r="K238" s="3">
        <v>9</v>
      </c>
      <c r="L238" s="6" t="s">
        <v>69</v>
      </c>
      <c r="M238" s="2" t="s">
        <v>53</v>
      </c>
      <c r="N238" s="3">
        <v>13.72</v>
      </c>
      <c r="O238" s="3">
        <v>15</v>
      </c>
      <c r="P238" s="3">
        <v>46.8</v>
      </c>
      <c r="Q238" s="9">
        <f t="shared" si="18"/>
        <v>13.252272727272729</v>
      </c>
      <c r="R238" s="10">
        <f t="shared" si="19"/>
        <v>1041.1919625438939</v>
      </c>
      <c r="S238" s="10">
        <f t="shared" si="20"/>
        <v>928.80638942363407</v>
      </c>
      <c r="T238" s="7">
        <v>71.599999999999994</v>
      </c>
      <c r="U238" s="7">
        <v>56.5</v>
      </c>
    </row>
    <row r="239" spans="1:21" x14ac:dyDescent="0.25">
      <c r="A239" s="4">
        <v>2023</v>
      </c>
      <c r="B239" s="3" t="s">
        <v>243</v>
      </c>
      <c r="C239" s="3" t="s">
        <v>244</v>
      </c>
      <c r="D239" s="3" t="s">
        <v>245</v>
      </c>
      <c r="E239" s="3" t="s">
        <v>246</v>
      </c>
      <c r="F239" s="3" t="s">
        <v>264</v>
      </c>
      <c r="G239" s="3">
        <v>204</v>
      </c>
      <c r="H239" s="3">
        <v>4</v>
      </c>
      <c r="I239" s="3">
        <v>2</v>
      </c>
      <c r="J239" s="3">
        <v>1</v>
      </c>
      <c r="K239" s="3">
        <v>17</v>
      </c>
      <c r="L239" s="6" t="s">
        <v>42</v>
      </c>
      <c r="M239" s="2" t="s">
        <v>30</v>
      </c>
      <c r="N239" s="3">
        <v>10.92</v>
      </c>
      <c r="O239" s="3">
        <v>18.2</v>
      </c>
      <c r="P239" s="3">
        <v>45.5</v>
      </c>
      <c r="Q239" s="9">
        <f t="shared" si="18"/>
        <v>10.150636363636364</v>
      </c>
      <c r="R239" s="10">
        <f t="shared" si="19"/>
        <v>797.50554595618974</v>
      </c>
      <c r="S239" s="10">
        <f t="shared" si="20"/>
        <v>711.4233237789382</v>
      </c>
      <c r="T239" s="7">
        <v>73.400000000000006</v>
      </c>
      <c r="U239" s="7">
        <v>68.7</v>
      </c>
    </row>
    <row r="240" spans="1:21" x14ac:dyDescent="0.25">
      <c r="A240" s="4">
        <v>2023</v>
      </c>
      <c r="B240" s="3" t="s">
        <v>243</v>
      </c>
      <c r="C240" s="3" t="s">
        <v>244</v>
      </c>
      <c r="D240" s="3" t="s">
        <v>245</v>
      </c>
      <c r="E240" s="3" t="s">
        <v>246</v>
      </c>
      <c r="F240" s="3" t="s">
        <v>265</v>
      </c>
      <c r="G240" s="3">
        <v>205</v>
      </c>
      <c r="H240" s="3">
        <v>5</v>
      </c>
      <c r="I240" s="3">
        <v>2</v>
      </c>
      <c r="J240" s="3">
        <v>1</v>
      </c>
      <c r="K240" s="3">
        <v>18</v>
      </c>
      <c r="L240" s="6" t="s">
        <v>42</v>
      </c>
      <c r="M240" s="2" t="s">
        <v>53</v>
      </c>
      <c r="N240" s="3">
        <v>9.99</v>
      </c>
      <c r="O240" s="3">
        <v>19</v>
      </c>
      <c r="P240" s="3">
        <v>45.1</v>
      </c>
      <c r="Q240" s="9">
        <f t="shared" si="18"/>
        <v>9.1953409090909091</v>
      </c>
      <c r="R240" s="10">
        <f t="shared" si="19"/>
        <v>722.4508010383239</v>
      </c>
      <c r="S240" s="10">
        <f t="shared" si="20"/>
        <v>644.46993848200168</v>
      </c>
      <c r="T240" s="7">
        <v>72.8</v>
      </c>
      <c r="U240" s="7">
        <v>67.7</v>
      </c>
    </row>
    <row r="241" spans="1:21" x14ac:dyDescent="0.25">
      <c r="A241" s="4">
        <v>2023</v>
      </c>
      <c r="B241" s="3" t="s">
        <v>243</v>
      </c>
      <c r="C241" s="3" t="s">
        <v>244</v>
      </c>
      <c r="D241" s="3" t="s">
        <v>245</v>
      </c>
      <c r="E241" s="3" t="s">
        <v>246</v>
      </c>
      <c r="F241" s="3" t="s">
        <v>266</v>
      </c>
      <c r="G241" s="3">
        <v>206</v>
      </c>
      <c r="H241" s="3">
        <v>6</v>
      </c>
      <c r="I241" s="3">
        <v>2</v>
      </c>
      <c r="J241" s="3">
        <v>1</v>
      </c>
      <c r="K241" s="3">
        <v>19</v>
      </c>
      <c r="L241" s="6" t="s">
        <v>113</v>
      </c>
      <c r="M241" s="6" t="s">
        <v>658</v>
      </c>
      <c r="N241" s="3">
        <v>10.26</v>
      </c>
      <c r="O241" s="3">
        <v>24.2</v>
      </c>
      <c r="P241" s="3">
        <v>44.1</v>
      </c>
      <c r="Q241" s="9">
        <f t="shared" si="18"/>
        <v>8.8375909090909079</v>
      </c>
      <c r="R241" s="10">
        <f t="shared" si="19"/>
        <v>694.34343920947219</v>
      </c>
      <c r="S241" s="10">
        <f t="shared" si="20"/>
        <v>619.39646673458719</v>
      </c>
      <c r="T241" s="7">
        <v>69.3</v>
      </c>
      <c r="U241" s="7">
        <v>61.6</v>
      </c>
    </row>
    <row r="242" spans="1:21" x14ac:dyDescent="0.25">
      <c r="A242" s="4">
        <v>2023</v>
      </c>
      <c r="B242" s="3" t="s">
        <v>243</v>
      </c>
      <c r="C242" s="3" t="s">
        <v>244</v>
      </c>
      <c r="D242" s="3" t="s">
        <v>245</v>
      </c>
      <c r="E242" s="3" t="s">
        <v>246</v>
      </c>
      <c r="F242" s="3" t="s">
        <v>267</v>
      </c>
      <c r="G242" s="3">
        <v>207</v>
      </c>
      <c r="H242" s="3">
        <v>7</v>
      </c>
      <c r="I242" s="3">
        <v>2</v>
      </c>
      <c r="J242" s="3">
        <v>1</v>
      </c>
      <c r="K242" s="3" t="s">
        <v>268</v>
      </c>
      <c r="L242" s="6" t="s">
        <v>269</v>
      </c>
      <c r="M242" s="6" t="s">
        <v>658</v>
      </c>
      <c r="N242" s="3">
        <v>5.75</v>
      </c>
      <c r="O242" s="3">
        <v>26.6</v>
      </c>
      <c r="P242" s="3">
        <v>43.5</v>
      </c>
      <c r="Q242" s="9">
        <f t="shared" si="18"/>
        <v>4.7960227272727263</v>
      </c>
      <c r="R242" s="10">
        <f t="shared" si="19"/>
        <v>376.80935327701098</v>
      </c>
      <c r="S242" s="10">
        <f t="shared" si="20"/>
        <v>336.13680042552272</v>
      </c>
      <c r="T242" s="7">
        <v>71.599999999999994</v>
      </c>
      <c r="U242" s="7">
        <v>60.8</v>
      </c>
    </row>
    <row r="243" spans="1:21" x14ac:dyDescent="0.25">
      <c r="A243" s="4">
        <v>2023</v>
      </c>
      <c r="B243" s="3" t="s">
        <v>243</v>
      </c>
      <c r="C243" s="3" t="s">
        <v>244</v>
      </c>
      <c r="D243" s="3" t="s">
        <v>245</v>
      </c>
      <c r="E243" s="3" t="s">
        <v>246</v>
      </c>
      <c r="F243" s="3" t="s">
        <v>270</v>
      </c>
      <c r="G243" s="3">
        <v>208</v>
      </c>
      <c r="H243" s="3">
        <v>8</v>
      </c>
      <c r="I243" s="3">
        <v>2</v>
      </c>
      <c r="J243" s="3">
        <v>2</v>
      </c>
      <c r="K243" s="3">
        <v>9</v>
      </c>
      <c r="L243" s="6" t="s">
        <v>69</v>
      </c>
      <c r="M243" s="2" t="s">
        <v>53</v>
      </c>
      <c r="N243" s="3">
        <v>12.92</v>
      </c>
      <c r="O243" s="3">
        <v>15.8</v>
      </c>
      <c r="P243" s="3">
        <v>46.5</v>
      </c>
      <c r="Q243" s="9">
        <f t="shared" si="18"/>
        <v>12.362090909090908</v>
      </c>
      <c r="R243" s="10">
        <f t="shared" si="19"/>
        <v>971.25300389371489</v>
      </c>
      <c r="S243" s="10">
        <f t="shared" si="20"/>
        <v>866.41659580170824</v>
      </c>
      <c r="T243" s="7">
        <v>72</v>
      </c>
      <c r="U243" s="7">
        <v>56.9</v>
      </c>
    </row>
    <row r="244" spans="1:21" x14ac:dyDescent="0.25">
      <c r="A244" s="4">
        <v>2023</v>
      </c>
      <c r="B244" s="3" t="s">
        <v>243</v>
      </c>
      <c r="C244" s="3" t="s">
        <v>244</v>
      </c>
      <c r="D244" s="3" t="s">
        <v>245</v>
      </c>
      <c r="E244" s="3" t="s">
        <v>246</v>
      </c>
      <c r="F244" s="3" t="s">
        <v>271</v>
      </c>
      <c r="G244" s="3">
        <v>209</v>
      </c>
      <c r="H244" s="3">
        <v>9</v>
      </c>
      <c r="I244" s="3">
        <v>2</v>
      </c>
      <c r="J244" s="3">
        <v>2</v>
      </c>
      <c r="K244" s="3">
        <v>14</v>
      </c>
      <c r="L244" s="6" t="s">
        <v>87</v>
      </c>
      <c r="M244" s="2" t="s">
        <v>30</v>
      </c>
      <c r="N244" s="3">
        <v>8.7899999999999991</v>
      </c>
      <c r="O244" s="3">
        <v>15.3</v>
      </c>
      <c r="P244" s="3">
        <v>46.3</v>
      </c>
      <c r="Q244" s="9">
        <f t="shared" si="18"/>
        <v>8.4603749999999991</v>
      </c>
      <c r="R244" s="10">
        <f t="shared" si="19"/>
        <v>664.70669834457362</v>
      </c>
      <c r="S244" s="10">
        <f t="shared" si="20"/>
        <v>592.9586961146955</v>
      </c>
      <c r="T244" s="7">
        <v>70.8</v>
      </c>
      <c r="U244" s="7">
        <v>47.8</v>
      </c>
    </row>
    <row r="245" spans="1:21" x14ac:dyDescent="0.25">
      <c r="A245" s="4">
        <v>2023</v>
      </c>
      <c r="B245" s="3" t="s">
        <v>243</v>
      </c>
      <c r="C245" s="3" t="s">
        <v>244</v>
      </c>
      <c r="D245" s="3" t="s">
        <v>245</v>
      </c>
      <c r="E245" s="3" t="s">
        <v>246</v>
      </c>
      <c r="F245" s="3" t="s">
        <v>272</v>
      </c>
      <c r="G245" s="3">
        <v>210</v>
      </c>
      <c r="H245" s="3">
        <v>10</v>
      </c>
      <c r="I245" s="3">
        <v>2</v>
      </c>
      <c r="J245" s="3">
        <v>2</v>
      </c>
      <c r="K245" s="3">
        <v>5</v>
      </c>
      <c r="L245" s="6" t="s">
        <v>56</v>
      </c>
      <c r="M245" s="2" t="s">
        <v>30</v>
      </c>
      <c r="N245" s="3">
        <v>13.44</v>
      </c>
      <c r="O245" s="3">
        <v>18</v>
      </c>
      <c r="P245" s="3">
        <v>45.6</v>
      </c>
      <c r="Q245" s="9">
        <f t="shared" si="18"/>
        <v>12.523636363636365</v>
      </c>
      <c r="R245" s="10">
        <f t="shared" si="19"/>
        <v>983.94515355888745</v>
      </c>
      <c r="S245" s="10">
        <f t="shared" si="20"/>
        <v>877.73876321042587</v>
      </c>
      <c r="T245" s="7">
        <v>72.900000000000006</v>
      </c>
      <c r="U245" s="7">
        <v>65</v>
      </c>
    </row>
    <row r="246" spans="1:21" x14ac:dyDescent="0.25">
      <c r="A246" s="4">
        <v>2023</v>
      </c>
      <c r="B246" s="3" t="s">
        <v>243</v>
      </c>
      <c r="C246" s="3" t="s">
        <v>244</v>
      </c>
      <c r="D246" s="3" t="s">
        <v>245</v>
      </c>
      <c r="E246" s="3" t="s">
        <v>246</v>
      </c>
      <c r="F246" s="3" t="s">
        <v>273</v>
      </c>
      <c r="G246" s="3">
        <v>211</v>
      </c>
      <c r="H246" s="3">
        <v>11</v>
      </c>
      <c r="I246" s="3">
        <v>2</v>
      </c>
      <c r="J246" s="3">
        <v>2</v>
      </c>
      <c r="K246" s="3">
        <v>7</v>
      </c>
      <c r="L246" s="6" t="s">
        <v>69</v>
      </c>
      <c r="M246" s="6" t="s">
        <v>658</v>
      </c>
      <c r="N246" s="3">
        <v>13.56</v>
      </c>
      <c r="O246" s="3">
        <v>16</v>
      </c>
      <c r="P246" s="3">
        <v>46.5</v>
      </c>
      <c r="Q246" s="9">
        <f t="shared" si="18"/>
        <v>12.943636363636363</v>
      </c>
      <c r="R246" s="10">
        <f t="shared" si="19"/>
        <v>1016.9433141965329</v>
      </c>
      <c r="S246" s="10">
        <f t="shared" si="20"/>
        <v>907.17512417175101</v>
      </c>
      <c r="T246" s="7">
        <v>71.400000000000006</v>
      </c>
      <c r="U246" s="7">
        <v>57.8</v>
      </c>
    </row>
    <row r="247" spans="1:21" x14ac:dyDescent="0.25">
      <c r="A247" s="4">
        <v>2023</v>
      </c>
      <c r="B247" s="3" t="s">
        <v>243</v>
      </c>
      <c r="C247" s="3" t="s">
        <v>244</v>
      </c>
      <c r="D247" s="3" t="s">
        <v>245</v>
      </c>
      <c r="E247" s="3" t="s">
        <v>246</v>
      </c>
      <c r="F247" s="3" t="s">
        <v>274</v>
      </c>
      <c r="G247" s="3">
        <v>212</v>
      </c>
      <c r="H247" s="3">
        <v>12</v>
      </c>
      <c r="I247" s="3">
        <v>2</v>
      </c>
      <c r="J247" s="3">
        <v>2</v>
      </c>
      <c r="K247" s="3">
        <v>12</v>
      </c>
      <c r="L247" s="6" t="s">
        <v>27</v>
      </c>
      <c r="M247" s="2" t="s">
        <v>53</v>
      </c>
      <c r="N247" s="3">
        <v>11.43</v>
      </c>
      <c r="O247" s="3">
        <v>21.6</v>
      </c>
      <c r="P247" s="3">
        <v>44.4</v>
      </c>
      <c r="Q247" s="9">
        <f t="shared" si="18"/>
        <v>10.183090909090907</v>
      </c>
      <c r="R247" s="10">
        <f t="shared" si="19"/>
        <v>800.05540382364393</v>
      </c>
      <c r="S247" s="10">
        <f t="shared" si="20"/>
        <v>713.6979516714041</v>
      </c>
      <c r="T247" s="7">
        <v>74.599999999999994</v>
      </c>
      <c r="U247" s="7">
        <v>68.5</v>
      </c>
    </row>
    <row r="248" spans="1:21" x14ac:dyDescent="0.25">
      <c r="A248" s="4">
        <v>2023</v>
      </c>
      <c r="B248" s="3" t="s">
        <v>243</v>
      </c>
      <c r="C248" s="3" t="s">
        <v>244</v>
      </c>
      <c r="D248" s="3" t="s">
        <v>245</v>
      </c>
      <c r="E248" s="3" t="s">
        <v>246</v>
      </c>
      <c r="F248" s="3" t="s">
        <v>275</v>
      </c>
      <c r="G248" s="3">
        <v>213</v>
      </c>
      <c r="H248" s="3">
        <v>13</v>
      </c>
      <c r="I248" s="3">
        <v>2</v>
      </c>
      <c r="J248" s="3">
        <v>2</v>
      </c>
      <c r="K248" s="3">
        <v>10</v>
      </c>
      <c r="L248" s="6" t="s">
        <v>27</v>
      </c>
      <c r="M248" s="6" t="s">
        <v>658</v>
      </c>
      <c r="N248" s="3">
        <v>11.13</v>
      </c>
      <c r="O248" s="3">
        <v>19.899999999999999</v>
      </c>
      <c r="P248" s="3">
        <v>45</v>
      </c>
      <c r="Q248" s="9">
        <f t="shared" si="18"/>
        <v>10.130829545454548</v>
      </c>
      <c r="R248" s="10">
        <f t="shared" si="19"/>
        <v>795.94938269884619</v>
      </c>
      <c r="S248" s="10">
        <f t="shared" si="20"/>
        <v>710.0351317563302</v>
      </c>
      <c r="T248" s="7">
        <v>74.400000000000006</v>
      </c>
      <c r="U248" s="7">
        <v>68</v>
      </c>
    </row>
    <row r="249" spans="1:21" x14ac:dyDescent="0.25">
      <c r="A249" s="4">
        <v>2023</v>
      </c>
      <c r="B249" s="3" t="s">
        <v>243</v>
      </c>
      <c r="C249" s="3" t="s">
        <v>244</v>
      </c>
      <c r="D249" s="3" t="s">
        <v>245</v>
      </c>
      <c r="E249" s="3" t="s">
        <v>246</v>
      </c>
      <c r="F249" s="3" t="s">
        <v>276</v>
      </c>
      <c r="G249" s="3">
        <v>214</v>
      </c>
      <c r="H249" s="3">
        <v>14</v>
      </c>
      <c r="I249" s="3">
        <v>2</v>
      </c>
      <c r="J249" s="3">
        <v>2</v>
      </c>
      <c r="K249" s="3">
        <v>16</v>
      </c>
      <c r="L249" s="6" t="s">
        <v>42</v>
      </c>
      <c r="M249" s="6" t="s">
        <v>658</v>
      </c>
      <c r="N249" s="3">
        <v>10.01</v>
      </c>
      <c r="O249" s="3">
        <v>16.7</v>
      </c>
      <c r="P249" s="3">
        <v>46</v>
      </c>
      <c r="Q249" s="9">
        <f t="shared" si="18"/>
        <v>9.4753749999999997</v>
      </c>
      <c r="R249" s="10">
        <f t="shared" si="19"/>
        <v>744.45225321888404</v>
      </c>
      <c r="S249" s="10">
        <f t="shared" si="20"/>
        <v>664.09656843789833</v>
      </c>
      <c r="T249" s="7">
        <v>72.400000000000006</v>
      </c>
      <c r="U249" s="7">
        <v>67.3</v>
      </c>
    </row>
    <row r="250" spans="1:21" x14ac:dyDescent="0.25">
      <c r="A250" s="4">
        <v>2023</v>
      </c>
      <c r="B250" s="3" t="s">
        <v>243</v>
      </c>
      <c r="C250" s="3" t="s">
        <v>244</v>
      </c>
      <c r="D250" s="3" t="s">
        <v>245</v>
      </c>
      <c r="E250" s="3" t="s">
        <v>246</v>
      </c>
      <c r="F250" s="3" t="s">
        <v>277</v>
      </c>
      <c r="G250" s="3">
        <v>301</v>
      </c>
      <c r="H250" s="3">
        <v>1</v>
      </c>
      <c r="I250" s="3">
        <v>3</v>
      </c>
      <c r="J250" s="3">
        <v>2</v>
      </c>
      <c r="K250" s="3">
        <v>20</v>
      </c>
      <c r="L250" s="6" t="s">
        <v>82</v>
      </c>
      <c r="M250" s="6" t="s">
        <v>658</v>
      </c>
      <c r="N250" s="3">
        <v>12.05</v>
      </c>
      <c r="O250" s="3">
        <v>11.8</v>
      </c>
      <c r="P250" s="3">
        <v>45.3</v>
      </c>
      <c r="Q250" s="9">
        <f t="shared" si="18"/>
        <v>12.077386363636364</v>
      </c>
      <c r="R250" s="10">
        <f t="shared" si="19"/>
        <v>948.884607881389</v>
      </c>
      <c r="S250" s="10">
        <f t="shared" si="20"/>
        <v>846.46262968901783</v>
      </c>
      <c r="T250" s="7">
        <v>73.7</v>
      </c>
      <c r="U250" s="7">
        <v>67</v>
      </c>
    </row>
    <row r="251" spans="1:21" x14ac:dyDescent="0.25">
      <c r="A251" s="4">
        <v>2023</v>
      </c>
      <c r="B251" s="3" t="s">
        <v>243</v>
      </c>
      <c r="C251" s="3" t="s">
        <v>244</v>
      </c>
      <c r="D251" s="3" t="s">
        <v>245</v>
      </c>
      <c r="E251" s="3" t="s">
        <v>246</v>
      </c>
      <c r="F251" s="3" t="s">
        <v>278</v>
      </c>
      <c r="G251" s="3">
        <v>302</v>
      </c>
      <c r="H251" s="3">
        <v>2</v>
      </c>
      <c r="I251" s="3">
        <v>3</v>
      </c>
      <c r="J251" s="3">
        <v>2</v>
      </c>
      <c r="K251" s="3">
        <v>8</v>
      </c>
      <c r="L251" s="6" t="s">
        <v>69</v>
      </c>
      <c r="M251" s="2" t="s">
        <v>30</v>
      </c>
      <c r="N251" s="3">
        <v>19.28</v>
      </c>
      <c r="O251" s="3">
        <v>6.7</v>
      </c>
      <c r="P251" s="3">
        <v>46.6</v>
      </c>
      <c r="Q251" s="9">
        <f t="shared" si="18"/>
        <v>20.441181818181818</v>
      </c>
      <c r="R251" s="10">
        <f t="shared" si="19"/>
        <v>1606.003336332582</v>
      </c>
      <c r="S251" s="10">
        <f t="shared" si="20"/>
        <v>1432.6523963716163</v>
      </c>
      <c r="T251" s="7">
        <v>72.099999999999994</v>
      </c>
      <c r="U251" s="7">
        <v>57.9</v>
      </c>
    </row>
    <row r="252" spans="1:21" x14ac:dyDescent="0.25">
      <c r="A252" s="4">
        <v>2023</v>
      </c>
      <c r="B252" s="3" t="s">
        <v>243</v>
      </c>
      <c r="C252" s="3" t="s">
        <v>244</v>
      </c>
      <c r="D252" s="3" t="s">
        <v>245</v>
      </c>
      <c r="E252" s="3" t="s">
        <v>246</v>
      </c>
      <c r="F252" s="3" t="s">
        <v>279</v>
      </c>
      <c r="G252" s="3">
        <v>303</v>
      </c>
      <c r="H252" s="3">
        <v>3</v>
      </c>
      <c r="I252" s="3">
        <v>3</v>
      </c>
      <c r="J252" s="3">
        <v>2</v>
      </c>
      <c r="K252" s="3">
        <v>4</v>
      </c>
      <c r="L252" s="6" t="s">
        <v>56</v>
      </c>
      <c r="M252" s="6" t="s">
        <v>658</v>
      </c>
      <c r="N252" s="3">
        <v>12.17</v>
      </c>
      <c r="O252" s="3">
        <v>16.100000000000001</v>
      </c>
      <c r="P252" s="3">
        <v>46.1</v>
      </c>
      <c r="Q252" s="9">
        <f t="shared" si="18"/>
        <v>11.602988636363637</v>
      </c>
      <c r="R252" s="10">
        <f t="shared" si="19"/>
        <v>911.61257833215211</v>
      </c>
      <c r="S252" s="10">
        <f t="shared" si="20"/>
        <v>813.2137184051312</v>
      </c>
      <c r="T252" s="7">
        <v>71.8</v>
      </c>
      <c r="U252" s="7">
        <v>58.6</v>
      </c>
    </row>
    <row r="253" spans="1:21" x14ac:dyDescent="0.25">
      <c r="A253" s="4">
        <v>2023</v>
      </c>
      <c r="B253" s="3" t="s">
        <v>243</v>
      </c>
      <c r="C253" s="3" t="s">
        <v>244</v>
      </c>
      <c r="D253" s="3" t="s">
        <v>245</v>
      </c>
      <c r="E253" s="3" t="s">
        <v>246</v>
      </c>
      <c r="F253" s="3" t="s">
        <v>280</v>
      </c>
      <c r="G253" s="3">
        <v>304</v>
      </c>
      <c r="H253" s="3">
        <v>4</v>
      </c>
      <c r="I253" s="3">
        <v>3</v>
      </c>
      <c r="J253" s="3">
        <v>2</v>
      </c>
      <c r="K253" s="3">
        <v>1</v>
      </c>
      <c r="L253" s="6" t="s">
        <v>100</v>
      </c>
      <c r="M253" s="6" t="s">
        <v>658</v>
      </c>
      <c r="N253" s="3">
        <v>14.55</v>
      </c>
      <c r="O253" s="3">
        <v>20.2</v>
      </c>
      <c r="P253" s="3">
        <v>44.8</v>
      </c>
      <c r="Q253" s="9">
        <f t="shared" si="18"/>
        <v>13.194204545454546</v>
      </c>
      <c r="R253" s="10">
        <f t="shared" si="19"/>
        <v>1036.629716849674</v>
      </c>
      <c r="S253" s="10">
        <f t="shared" si="20"/>
        <v>924.73658951799644</v>
      </c>
      <c r="T253" s="7">
        <v>71.900000000000006</v>
      </c>
      <c r="U253" s="7">
        <v>56.9</v>
      </c>
    </row>
    <row r="254" spans="1:21" x14ac:dyDescent="0.25">
      <c r="A254" s="4">
        <v>2023</v>
      </c>
      <c r="B254" s="3" t="s">
        <v>243</v>
      </c>
      <c r="C254" s="3" t="s">
        <v>244</v>
      </c>
      <c r="D254" s="3" t="s">
        <v>245</v>
      </c>
      <c r="E254" s="3" t="s">
        <v>246</v>
      </c>
      <c r="F254" s="3" t="s">
        <v>281</v>
      </c>
      <c r="G254" s="3">
        <v>305</v>
      </c>
      <c r="H254" s="3">
        <v>5</v>
      </c>
      <c r="I254" s="3">
        <v>3</v>
      </c>
      <c r="J254" s="3">
        <v>2</v>
      </c>
      <c r="K254" s="3">
        <v>19</v>
      </c>
      <c r="L254" s="6" t="s">
        <v>113</v>
      </c>
      <c r="M254" s="6" t="s">
        <v>658</v>
      </c>
      <c r="N254" s="3">
        <v>10.85</v>
      </c>
      <c r="O254" s="3">
        <v>23.9</v>
      </c>
      <c r="P254" s="3">
        <v>44.1</v>
      </c>
      <c r="Q254" s="9">
        <f t="shared" ref="Q254:Q285" si="21">N254*(1-O254/100)/(1-0.12)</f>
        <v>9.3827840909090909</v>
      </c>
      <c r="R254" s="10">
        <f t="shared" ref="R254:R285" si="22">((10000*Q254*12%/2.205))/((4.66*16)/10.764)</f>
        <v>737.17765871467577</v>
      </c>
      <c r="S254" s="10">
        <f t="shared" ref="S254:S285" si="23">R254/1.121</f>
        <v>657.60718886233337</v>
      </c>
      <c r="T254" s="7">
        <v>69.900000000000006</v>
      </c>
      <c r="U254" s="7">
        <v>62.6</v>
      </c>
    </row>
    <row r="255" spans="1:21" x14ac:dyDescent="0.25">
      <c r="A255" s="4">
        <v>2023</v>
      </c>
      <c r="B255" s="3" t="s">
        <v>243</v>
      </c>
      <c r="C255" s="3" t="s">
        <v>244</v>
      </c>
      <c r="D255" s="3" t="s">
        <v>245</v>
      </c>
      <c r="E255" s="3" t="s">
        <v>246</v>
      </c>
      <c r="F255" s="3" t="s">
        <v>282</v>
      </c>
      <c r="G255" s="3">
        <v>306</v>
      </c>
      <c r="H255" s="3">
        <v>6</v>
      </c>
      <c r="I255" s="3">
        <v>3</v>
      </c>
      <c r="J255" s="3">
        <v>2</v>
      </c>
      <c r="K255" s="3">
        <v>6</v>
      </c>
      <c r="L255" s="6" t="s">
        <v>56</v>
      </c>
      <c r="M255" s="2" t="s">
        <v>53</v>
      </c>
      <c r="N255" s="3">
        <v>13.78</v>
      </c>
      <c r="O255" s="3">
        <v>17.8</v>
      </c>
      <c r="P255" s="3">
        <v>45.5</v>
      </c>
      <c r="Q255" s="9">
        <f t="shared" si="21"/>
        <v>12.871772727272726</v>
      </c>
      <c r="R255" s="10">
        <f t="shared" si="22"/>
        <v>1011.2972003471695</v>
      </c>
      <c r="S255" s="10">
        <f t="shared" si="23"/>
        <v>902.13844812414754</v>
      </c>
      <c r="T255" s="7">
        <v>72.7</v>
      </c>
      <c r="U255" s="7">
        <v>64.8</v>
      </c>
    </row>
    <row r="256" spans="1:21" x14ac:dyDescent="0.25">
      <c r="A256" s="4">
        <v>2023</v>
      </c>
      <c r="B256" s="3" t="s">
        <v>243</v>
      </c>
      <c r="C256" s="3" t="s">
        <v>244</v>
      </c>
      <c r="D256" s="3" t="s">
        <v>245</v>
      </c>
      <c r="E256" s="3" t="s">
        <v>246</v>
      </c>
      <c r="F256" s="3" t="s">
        <v>283</v>
      </c>
      <c r="G256" s="3">
        <v>307</v>
      </c>
      <c r="H256" s="3">
        <v>7</v>
      </c>
      <c r="I256" s="3">
        <v>3</v>
      </c>
      <c r="J256" s="3">
        <v>2</v>
      </c>
      <c r="K256" s="3">
        <v>3</v>
      </c>
      <c r="L256" s="6" t="s">
        <v>100</v>
      </c>
      <c r="M256" s="2" t="s">
        <v>53</v>
      </c>
      <c r="N256" s="3">
        <v>13.7</v>
      </c>
      <c r="O256" s="3">
        <v>20.399999999999999</v>
      </c>
      <c r="P256" s="3">
        <v>44.9</v>
      </c>
      <c r="Q256" s="9">
        <f t="shared" si="21"/>
        <v>12.392272727272728</v>
      </c>
      <c r="R256" s="10">
        <f t="shared" si="22"/>
        <v>973.62430028585754</v>
      </c>
      <c r="S256" s="10">
        <f t="shared" si="23"/>
        <v>868.53193602663475</v>
      </c>
      <c r="T256" s="7">
        <v>72.5</v>
      </c>
      <c r="U256" s="7">
        <v>58.5</v>
      </c>
    </row>
    <row r="257" spans="1:21" x14ac:dyDescent="0.25">
      <c r="A257" s="4">
        <v>2023</v>
      </c>
      <c r="B257" s="3" t="s">
        <v>243</v>
      </c>
      <c r="C257" s="3" t="s">
        <v>244</v>
      </c>
      <c r="D257" s="3" t="s">
        <v>245</v>
      </c>
      <c r="E257" s="3" t="s">
        <v>246</v>
      </c>
      <c r="F257" s="3" t="s">
        <v>284</v>
      </c>
      <c r="G257" s="3">
        <v>308</v>
      </c>
      <c r="H257" s="3">
        <v>8</v>
      </c>
      <c r="I257" s="3">
        <v>3</v>
      </c>
      <c r="J257" s="3">
        <v>2</v>
      </c>
      <c r="K257" s="3">
        <v>11</v>
      </c>
      <c r="L257" s="6" t="s">
        <v>27</v>
      </c>
      <c r="M257" s="2" t="s">
        <v>30</v>
      </c>
      <c r="N257" s="3">
        <v>11.46</v>
      </c>
      <c r="O257" s="3">
        <v>19.600000000000001</v>
      </c>
      <c r="P257" s="3">
        <v>45</v>
      </c>
      <c r="Q257" s="9">
        <f t="shared" si="21"/>
        <v>10.470272727272729</v>
      </c>
      <c r="R257" s="10">
        <f t="shared" si="22"/>
        <v>822.6184318440603</v>
      </c>
      <c r="S257" s="10">
        <f t="shared" si="23"/>
        <v>733.82554134171301</v>
      </c>
      <c r="T257" s="7">
        <v>75</v>
      </c>
      <c r="U257" s="7">
        <v>67.3</v>
      </c>
    </row>
    <row r="258" spans="1:21" x14ac:dyDescent="0.25">
      <c r="A258" s="4">
        <v>2023</v>
      </c>
      <c r="B258" s="3" t="s">
        <v>243</v>
      </c>
      <c r="C258" s="3" t="s">
        <v>244</v>
      </c>
      <c r="D258" s="3" t="s">
        <v>245</v>
      </c>
      <c r="E258" s="3" t="s">
        <v>246</v>
      </c>
      <c r="F258" s="3" t="s">
        <v>285</v>
      </c>
      <c r="G258" s="3">
        <v>309</v>
      </c>
      <c r="H258" s="3">
        <v>9</v>
      </c>
      <c r="I258" s="3">
        <v>3</v>
      </c>
      <c r="J258" s="3">
        <v>2</v>
      </c>
      <c r="K258" s="3">
        <v>18</v>
      </c>
      <c r="L258" s="6" t="s">
        <v>42</v>
      </c>
      <c r="M258" s="2" t="s">
        <v>53</v>
      </c>
      <c r="N258" s="3">
        <v>11</v>
      </c>
      <c r="O258" s="3">
        <v>17.600000000000001</v>
      </c>
      <c r="P258" s="3">
        <v>45.7</v>
      </c>
      <c r="Q258" s="9">
        <f t="shared" si="21"/>
        <v>10.3</v>
      </c>
      <c r="R258" s="10">
        <f t="shared" si="22"/>
        <v>809.24060611369009</v>
      </c>
      <c r="S258" s="10">
        <f t="shared" si="23"/>
        <v>721.89170928964325</v>
      </c>
      <c r="T258" s="7">
        <v>72.8</v>
      </c>
      <c r="U258" s="7">
        <v>67.2</v>
      </c>
    </row>
    <row r="259" spans="1:21" x14ac:dyDescent="0.25">
      <c r="A259" s="4">
        <v>2023</v>
      </c>
      <c r="B259" s="3" t="s">
        <v>243</v>
      </c>
      <c r="C259" s="3" t="s">
        <v>244</v>
      </c>
      <c r="D259" s="3" t="s">
        <v>245</v>
      </c>
      <c r="E259" s="3" t="s">
        <v>246</v>
      </c>
      <c r="F259" s="3" t="s">
        <v>286</v>
      </c>
      <c r="G259" s="3">
        <v>310</v>
      </c>
      <c r="H259" s="3">
        <v>10</v>
      </c>
      <c r="I259" s="3">
        <v>3</v>
      </c>
      <c r="J259" s="3">
        <v>2</v>
      </c>
      <c r="K259" s="3">
        <v>2</v>
      </c>
      <c r="L259" s="6" t="s">
        <v>100</v>
      </c>
      <c r="M259" s="2" t="s">
        <v>30</v>
      </c>
      <c r="N259" s="3">
        <v>15.95</v>
      </c>
      <c r="O259" s="3">
        <v>18.2</v>
      </c>
      <c r="P259" s="3">
        <v>45.7</v>
      </c>
      <c r="Q259" s="9">
        <f t="shared" si="21"/>
        <v>14.82625</v>
      </c>
      <c r="R259" s="10">
        <f t="shared" si="22"/>
        <v>1164.8547122711745</v>
      </c>
      <c r="S259" s="10">
        <f t="shared" si="23"/>
        <v>1039.1210635782111</v>
      </c>
      <c r="T259" s="7">
        <v>73.5</v>
      </c>
      <c r="U259" s="7">
        <v>60</v>
      </c>
    </row>
    <row r="260" spans="1:21" x14ac:dyDescent="0.25">
      <c r="A260" s="4">
        <v>2023</v>
      </c>
      <c r="B260" s="3" t="s">
        <v>243</v>
      </c>
      <c r="C260" s="3" t="s">
        <v>244</v>
      </c>
      <c r="D260" s="3" t="s">
        <v>245</v>
      </c>
      <c r="E260" s="3" t="s">
        <v>246</v>
      </c>
      <c r="F260" s="3" t="s">
        <v>287</v>
      </c>
      <c r="G260" s="3">
        <v>311</v>
      </c>
      <c r="H260" s="3">
        <v>11</v>
      </c>
      <c r="I260" s="3">
        <v>3</v>
      </c>
      <c r="J260" s="3">
        <v>2</v>
      </c>
      <c r="K260" s="3">
        <v>13</v>
      </c>
      <c r="L260" s="6" t="s">
        <v>87</v>
      </c>
      <c r="M260" s="6" t="s">
        <v>658</v>
      </c>
      <c r="N260" s="3">
        <v>10.37</v>
      </c>
      <c r="O260" s="3">
        <v>14.5</v>
      </c>
      <c r="P260" s="3">
        <v>46.8</v>
      </c>
      <c r="Q260" s="9">
        <f t="shared" si="21"/>
        <v>10.075397727272726</v>
      </c>
      <c r="R260" s="10">
        <f t="shared" si="22"/>
        <v>791.59426831598807</v>
      </c>
      <c r="S260" s="10">
        <f t="shared" si="23"/>
        <v>706.1501055450384</v>
      </c>
      <c r="T260" s="7">
        <v>70.7</v>
      </c>
      <c r="U260" s="7">
        <v>52.1</v>
      </c>
    </row>
    <row r="261" spans="1:21" x14ac:dyDescent="0.25">
      <c r="A261" s="4">
        <v>2023</v>
      </c>
      <c r="B261" s="3" t="s">
        <v>243</v>
      </c>
      <c r="C261" s="3" t="s">
        <v>244</v>
      </c>
      <c r="D261" s="3" t="s">
        <v>245</v>
      </c>
      <c r="E261" s="3" t="s">
        <v>246</v>
      </c>
      <c r="F261" s="3" t="s">
        <v>288</v>
      </c>
      <c r="G261" s="3">
        <v>312</v>
      </c>
      <c r="H261" s="3">
        <v>12</v>
      </c>
      <c r="I261" s="3">
        <v>3</v>
      </c>
      <c r="J261" s="3">
        <v>2</v>
      </c>
      <c r="K261" s="3">
        <v>15</v>
      </c>
      <c r="L261" s="6" t="s">
        <v>87</v>
      </c>
      <c r="M261" s="2" t="s">
        <v>53</v>
      </c>
      <c r="N261" s="3">
        <v>9.8800000000000008</v>
      </c>
      <c r="O261" s="3">
        <v>14.4</v>
      </c>
      <c r="P261" s="3">
        <v>46.7</v>
      </c>
      <c r="Q261" s="9">
        <f t="shared" si="21"/>
        <v>9.6105454545454556</v>
      </c>
      <c r="R261" s="10">
        <f t="shared" si="22"/>
        <v>755.07219696306151</v>
      </c>
      <c r="S261" s="10">
        <f t="shared" si="23"/>
        <v>673.57020246481852</v>
      </c>
      <c r="T261" s="7">
        <v>70.400000000000006</v>
      </c>
      <c r="U261" s="7">
        <v>49.8</v>
      </c>
    </row>
    <row r="262" spans="1:21" x14ac:dyDescent="0.25">
      <c r="A262" s="4">
        <v>2023</v>
      </c>
      <c r="B262" s="3" t="s">
        <v>243</v>
      </c>
      <c r="C262" s="3" t="s">
        <v>244</v>
      </c>
      <c r="D262" s="3" t="s">
        <v>245</v>
      </c>
      <c r="E262" s="3" t="s">
        <v>246</v>
      </c>
      <c r="F262" s="3" t="s">
        <v>289</v>
      </c>
      <c r="G262" s="3">
        <v>313</v>
      </c>
      <c r="H262" s="3">
        <v>13</v>
      </c>
      <c r="I262" s="3">
        <v>3</v>
      </c>
      <c r="J262" s="3">
        <v>2</v>
      </c>
      <c r="K262" s="3">
        <v>17</v>
      </c>
      <c r="L262" s="6" t="s">
        <v>42</v>
      </c>
      <c r="M262" s="2" t="s">
        <v>30</v>
      </c>
      <c r="N262" s="3">
        <v>10.45</v>
      </c>
      <c r="O262" s="3">
        <v>17.100000000000001</v>
      </c>
      <c r="P262" s="3">
        <v>45.8</v>
      </c>
      <c r="Q262" s="9">
        <f t="shared" si="21"/>
        <v>9.8443749999999977</v>
      </c>
      <c r="R262" s="10">
        <f t="shared" si="22"/>
        <v>773.44349435052959</v>
      </c>
      <c r="S262" s="10">
        <f t="shared" si="23"/>
        <v>689.95851413963385</v>
      </c>
      <c r="T262" s="7">
        <v>73</v>
      </c>
      <c r="U262" s="7">
        <v>68.5</v>
      </c>
    </row>
    <row r="263" spans="1:21" x14ac:dyDescent="0.25">
      <c r="A263" s="4">
        <v>2023</v>
      </c>
      <c r="B263" s="3" t="s">
        <v>243</v>
      </c>
      <c r="C263" s="3" t="s">
        <v>244</v>
      </c>
      <c r="D263" s="3" t="s">
        <v>245</v>
      </c>
      <c r="E263" s="3" t="s">
        <v>246</v>
      </c>
      <c r="F263" s="3" t="s">
        <v>290</v>
      </c>
      <c r="G263" s="3">
        <v>314</v>
      </c>
      <c r="H263" s="3">
        <v>14</v>
      </c>
      <c r="I263" s="3">
        <v>3</v>
      </c>
      <c r="J263" s="3">
        <v>2</v>
      </c>
      <c r="K263" s="3" t="s">
        <v>268</v>
      </c>
      <c r="L263" s="6" t="s">
        <v>269</v>
      </c>
      <c r="M263" s="6" t="s">
        <v>658</v>
      </c>
      <c r="N263" s="3">
        <v>5.21</v>
      </c>
      <c r="O263" s="3">
        <v>20.9</v>
      </c>
      <c r="P263" s="3">
        <v>43.9</v>
      </c>
      <c r="Q263" s="9">
        <f t="shared" si="21"/>
        <v>4.6830795454545449</v>
      </c>
      <c r="R263" s="10">
        <f t="shared" si="22"/>
        <v>367.93574076138447</v>
      </c>
      <c r="S263" s="10">
        <f t="shared" si="23"/>
        <v>328.22099978714044</v>
      </c>
      <c r="T263" s="7">
        <v>70.5</v>
      </c>
      <c r="U263" s="7">
        <v>58.9</v>
      </c>
    </row>
    <row r="264" spans="1:21" x14ac:dyDescent="0.25">
      <c r="A264" s="4">
        <v>2023</v>
      </c>
      <c r="B264" s="3" t="s">
        <v>243</v>
      </c>
      <c r="C264" s="3" t="s">
        <v>244</v>
      </c>
      <c r="D264" s="3" t="s">
        <v>245</v>
      </c>
      <c r="E264" s="3" t="s">
        <v>246</v>
      </c>
      <c r="F264" s="3" t="s">
        <v>291</v>
      </c>
      <c r="G264" s="3">
        <v>401</v>
      </c>
      <c r="H264" s="3">
        <v>1</v>
      </c>
      <c r="I264" s="3">
        <v>4</v>
      </c>
      <c r="J264" s="3">
        <v>3</v>
      </c>
      <c r="K264" s="3">
        <v>7</v>
      </c>
      <c r="L264" s="6" t="s">
        <v>69</v>
      </c>
      <c r="M264" s="6" t="s">
        <v>658</v>
      </c>
      <c r="N264" s="3">
        <v>13.98</v>
      </c>
      <c r="O264" s="3">
        <v>7.92</v>
      </c>
      <c r="P264" s="3">
        <v>46.4</v>
      </c>
      <c r="Q264" s="9">
        <f t="shared" si="21"/>
        <v>14.628163636363638</v>
      </c>
      <c r="R264" s="10">
        <f t="shared" si="22"/>
        <v>1149.2916512059369</v>
      </c>
      <c r="S264" s="10">
        <f t="shared" si="23"/>
        <v>1025.2378690507912</v>
      </c>
      <c r="T264" s="7">
        <v>71.5</v>
      </c>
      <c r="U264" s="7">
        <v>56</v>
      </c>
    </row>
    <row r="265" spans="1:21" x14ac:dyDescent="0.25">
      <c r="A265" s="4">
        <v>2023</v>
      </c>
      <c r="B265" s="3" t="s">
        <v>243</v>
      </c>
      <c r="C265" s="3" t="s">
        <v>244</v>
      </c>
      <c r="D265" s="3" t="s">
        <v>245</v>
      </c>
      <c r="E265" s="3" t="s">
        <v>246</v>
      </c>
      <c r="F265" s="3" t="s">
        <v>292</v>
      </c>
      <c r="G265" s="3">
        <v>402</v>
      </c>
      <c r="H265" s="3">
        <v>2</v>
      </c>
      <c r="I265" s="3">
        <v>4</v>
      </c>
      <c r="J265" s="3">
        <v>3</v>
      </c>
      <c r="K265" s="3">
        <v>4</v>
      </c>
      <c r="L265" s="6" t="s">
        <v>56</v>
      </c>
      <c r="M265" s="6" t="s">
        <v>658</v>
      </c>
      <c r="N265" s="3">
        <v>8.2200000000000006</v>
      </c>
      <c r="O265" s="3">
        <v>8.3000000000000007</v>
      </c>
      <c r="P265" s="3">
        <v>45.9</v>
      </c>
      <c r="Q265" s="9">
        <f t="shared" si="21"/>
        <v>8.5656136363636382</v>
      </c>
      <c r="R265" s="10">
        <f t="shared" si="22"/>
        <v>672.97498745889322</v>
      </c>
      <c r="S265" s="10">
        <f t="shared" si="23"/>
        <v>600.33451156011881</v>
      </c>
      <c r="T265" s="7">
        <v>72.099999999999994</v>
      </c>
      <c r="U265" s="7">
        <v>61.4</v>
      </c>
    </row>
    <row r="266" spans="1:21" x14ac:dyDescent="0.25">
      <c r="A266" s="4">
        <v>2023</v>
      </c>
      <c r="B266" s="3" t="s">
        <v>243</v>
      </c>
      <c r="C266" s="3" t="s">
        <v>244</v>
      </c>
      <c r="D266" s="3" t="s">
        <v>245</v>
      </c>
      <c r="E266" s="3" t="s">
        <v>246</v>
      </c>
      <c r="F266" s="3" t="s">
        <v>293</v>
      </c>
      <c r="G266" s="3">
        <v>403</v>
      </c>
      <c r="H266" s="3">
        <v>3</v>
      </c>
      <c r="I266" s="3">
        <v>4</v>
      </c>
      <c r="J266" s="3">
        <v>3</v>
      </c>
      <c r="K266" s="3">
        <v>8</v>
      </c>
      <c r="L266" s="6" t="s">
        <v>69</v>
      </c>
      <c r="M266" s="2" t="s">
        <v>30</v>
      </c>
      <c r="N266" s="3">
        <v>13.69</v>
      </c>
      <c r="O266" s="3">
        <v>15.9</v>
      </c>
      <c r="P266" s="3">
        <v>46.4</v>
      </c>
      <c r="Q266" s="9">
        <f t="shared" si="21"/>
        <v>13.083284090909091</v>
      </c>
      <c r="R266" s="10">
        <f t="shared" si="22"/>
        <v>1027.9150240470749</v>
      </c>
      <c r="S266" s="10">
        <f t="shared" si="23"/>
        <v>916.96255490372425</v>
      </c>
      <c r="T266" s="7">
        <v>71.400000000000006</v>
      </c>
      <c r="U266" s="7">
        <v>56.6</v>
      </c>
    </row>
    <row r="267" spans="1:21" x14ac:dyDescent="0.25">
      <c r="A267" s="4">
        <v>2023</v>
      </c>
      <c r="B267" s="3" t="s">
        <v>243</v>
      </c>
      <c r="C267" s="3" t="s">
        <v>244</v>
      </c>
      <c r="D267" s="3" t="s">
        <v>245</v>
      </c>
      <c r="E267" s="3" t="s">
        <v>246</v>
      </c>
      <c r="F267" s="3" t="s">
        <v>294</v>
      </c>
      <c r="G267" s="3">
        <v>404</v>
      </c>
      <c r="H267" s="3">
        <v>4</v>
      </c>
      <c r="I267" s="3">
        <v>4</v>
      </c>
      <c r="J267" s="3">
        <v>3</v>
      </c>
      <c r="K267" s="3">
        <v>17</v>
      </c>
      <c r="L267" s="6" t="s">
        <v>42</v>
      </c>
      <c r="M267" s="2" t="s">
        <v>30</v>
      </c>
      <c r="N267" s="3">
        <v>12.04</v>
      </c>
      <c r="O267" s="3">
        <v>18.2</v>
      </c>
      <c r="P267" s="3">
        <v>45.4</v>
      </c>
      <c r="Q267" s="9">
        <f t="shared" si="21"/>
        <v>11.191727272727272</v>
      </c>
      <c r="R267" s="10">
        <f t="shared" si="22"/>
        <v>879.30098656708071</v>
      </c>
      <c r="S267" s="10">
        <f t="shared" si="23"/>
        <v>784.38981852549568</v>
      </c>
      <c r="T267" s="7">
        <v>72.7</v>
      </c>
      <c r="U267" s="7">
        <v>67.900000000000006</v>
      </c>
    </row>
    <row r="268" spans="1:21" x14ac:dyDescent="0.25">
      <c r="A268" s="4">
        <v>2023</v>
      </c>
      <c r="B268" s="3" t="s">
        <v>243</v>
      </c>
      <c r="C268" s="3" t="s">
        <v>244</v>
      </c>
      <c r="D268" s="3" t="s">
        <v>245</v>
      </c>
      <c r="E268" s="3" t="s">
        <v>246</v>
      </c>
      <c r="F268" s="3" t="s">
        <v>295</v>
      </c>
      <c r="G268" s="3">
        <v>405</v>
      </c>
      <c r="H268" s="3">
        <v>5</v>
      </c>
      <c r="I268" s="3">
        <v>4</v>
      </c>
      <c r="J268" s="3">
        <v>3</v>
      </c>
      <c r="K268" s="3">
        <v>11</v>
      </c>
      <c r="L268" s="6" t="s">
        <v>27</v>
      </c>
      <c r="M268" s="2" t="s">
        <v>30</v>
      </c>
      <c r="N268" s="3">
        <v>12.88</v>
      </c>
      <c r="O268" s="3">
        <v>20.2</v>
      </c>
      <c r="P268" s="3">
        <v>44.8</v>
      </c>
      <c r="Q268" s="9">
        <f t="shared" si="21"/>
        <v>11.679818181818185</v>
      </c>
      <c r="R268" s="10">
        <f t="shared" si="22"/>
        <v>917.64884900507241</v>
      </c>
      <c r="S268" s="10">
        <f t="shared" si="23"/>
        <v>818.59843800630904</v>
      </c>
      <c r="T268" s="7">
        <v>74.8</v>
      </c>
      <c r="U268" s="7">
        <v>67.900000000000006</v>
      </c>
    </row>
    <row r="269" spans="1:21" x14ac:dyDescent="0.25">
      <c r="A269" s="4">
        <v>2023</v>
      </c>
      <c r="B269" s="3" t="s">
        <v>243</v>
      </c>
      <c r="C269" s="3" t="s">
        <v>244</v>
      </c>
      <c r="D269" s="3" t="s">
        <v>245</v>
      </c>
      <c r="E269" s="3" t="s">
        <v>246</v>
      </c>
      <c r="F269" s="3" t="s">
        <v>296</v>
      </c>
      <c r="G269" s="3">
        <v>406</v>
      </c>
      <c r="H269" s="3">
        <v>6</v>
      </c>
      <c r="I269" s="3">
        <v>4</v>
      </c>
      <c r="J269" s="3">
        <v>3</v>
      </c>
      <c r="K269" s="3">
        <v>16</v>
      </c>
      <c r="L269" s="6" t="s">
        <v>42</v>
      </c>
      <c r="M269" s="6" t="s">
        <v>658</v>
      </c>
      <c r="N269" s="3">
        <v>11.18</v>
      </c>
      <c r="O269" s="3">
        <v>17.600000000000001</v>
      </c>
      <c r="P269" s="3">
        <v>45.6</v>
      </c>
      <c r="Q269" s="9">
        <f t="shared" si="21"/>
        <v>10.468545454545454</v>
      </c>
      <c r="R269" s="10">
        <f t="shared" si="22"/>
        <v>822.48272512282313</v>
      </c>
      <c r="S269" s="10">
        <f t="shared" si="23"/>
        <v>733.70448271438283</v>
      </c>
      <c r="T269" s="7">
        <v>73.099999999999994</v>
      </c>
      <c r="U269" s="7">
        <v>68.3</v>
      </c>
    </row>
    <row r="270" spans="1:21" x14ac:dyDescent="0.25">
      <c r="A270" s="4">
        <v>2023</v>
      </c>
      <c r="B270" s="3" t="s">
        <v>243</v>
      </c>
      <c r="C270" s="3" t="s">
        <v>244</v>
      </c>
      <c r="D270" s="3" t="s">
        <v>245</v>
      </c>
      <c r="E270" s="3" t="s">
        <v>246</v>
      </c>
      <c r="F270" s="3" t="s">
        <v>297</v>
      </c>
      <c r="G270" s="3">
        <v>407</v>
      </c>
      <c r="H270" s="3">
        <v>7</v>
      </c>
      <c r="I270" s="3">
        <v>4</v>
      </c>
      <c r="J270" s="3">
        <v>3</v>
      </c>
      <c r="K270" s="3">
        <v>10</v>
      </c>
      <c r="L270" s="6" t="s">
        <v>27</v>
      </c>
      <c r="M270" s="6" t="s">
        <v>658</v>
      </c>
      <c r="N270" s="3">
        <v>13.41</v>
      </c>
      <c r="O270" s="3">
        <v>20.399999999999999</v>
      </c>
      <c r="P270" s="3">
        <v>44.9</v>
      </c>
      <c r="Q270" s="9">
        <f t="shared" si="21"/>
        <v>12.129954545454545</v>
      </c>
      <c r="R270" s="10">
        <f t="shared" si="22"/>
        <v>953.0147348053539</v>
      </c>
      <c r="S270" s="10">
        <f t="shared" si="23"/>
        <v>850.1469534392096</v>
      </c>
      <c r="T270" s="7">
        <v>74.900000000000006</v>
      </c>
      <c r="U270" s="7">
        <v>67.5</v>
      </c>
    </row>
    <row r="271" spans="1:21" x14ac:dyDescent="0.25">
      <c r="A271" s="4">
        <v>2023</v>
      </c>
      <c r="B271" s="3" t="s">
        <v>243</v>
      </c>
      <c r="C271" s="3" t="s">
        <v>244</v>
      </c>
      <c r="D271" s="3" t="s">
        <v>245</v>
      </c>
      <c r="E271" s="3" t="s">
        <v>246</v>
      </c>
      <c r="F271" s="3" t="s">
        <v>298</v>
      </c>
      <c r="G271" s="3">
        <v>408</v>
      </c>
      <c r="H271" s="3">
        <v>8</v>
      </c>
      <c r="I271" s="3">
        <v>4</v>
      </c>
      <c r="J271" s="3">
        <v>3</v>
      </c>
      <c r="K271" s="3">
        <v>20</v>
      </c>
      <c r="L271" s="6" t="s">
        <v>82</v>
      </c>
      <c r="M271" s="6" t="s">
        <v>658</v>
      </c>
      <c r="N271" s="3">
        <v>12.32</v>
      </c>
      <c r="O271" s="3">
        <v>19</v>
      </c>
      <c r="P271" s="3">
        <v>45.4</v>
      </c>
      <c r="Q271" s="9">
        <f t="shared" si="21"/>
        <v>11.34</v>
      </c>
      <c r="R271" s="10">
        <f t="shared" si="22"/>
        <v>890.95033721643165</v>
      </c>
      <c r="S271" s="10">
        <f t="shared" si="23"/>
        <v>794.78174595578207</v>
      </c>
      <c r="T271" s="7">
        <v>72.900000000000006</v>
      </c>
      <c r="U271" s="7">
        <v>63.9</v>
      </c>
    </row>
    <row r="272" spans="1:21" x14ac:dyDescent="0.25">
      <c r="A272" s="4">
        <v>2023</v>
      </c>
      <c r="B272" s="3" t="s">
        <v>243</v>
      </c>
      <c r="C272" s="3" t="s">
        <v>244</v>
      </c>
      <c r="D272" s="3" t="s">
        <v>245</v>
      </c>
      <c r="E272" s="3" t="s">
        <v>246</v>
      </c>
      <c r="F272" s="3" t="s">
        <v>299</v>
      </c>
      <c r="G272" s="3">
        <v>409</v>
      </c>
      <c r="H272" s="3">
        <v>9</v>
      </c>
      <c r="I272" s="3">
        <v>4</v>
      </c>
      <c r="J272" s="3">
        <v>3</v>
      </c>
      <c r="K272" s="3">
        <v>1</v>
      </c>
      <c r="L272" s="6" t="s">
        <v>100</v>
      </c>
      <c r="M272" s="6" t="s">
        <v>658</v>
      </c>
      <c r="N272" s="3">
        <v>14.92</v>
      </c>
      <c r="O272" s="3">
        <v>18.100000000000001</v>
      </c>
      <c r="P272" s="3">
        <v>45.8</v>
      </c>
      <c r="Q272" s="9">
        <f t="shared" si="21"/>
        <v>13.885772727272727</v>
      </c>
      <c r="R272" s="10">
        <f t="shared" si="22"/>
        <v>1090.9641881723426</v>
      </c>
      <c r="S272" s="10">
        <f t="shared" si="23"/>
        <v>973.20623387363298</v>
      </c>
      <c r="T272" s="7">
        <v>72.400000000000006</v>
      </c>
      <c r="U272" s="7">
        <v>55.9</v>
      </c>
    </row>
    <row r="273" spans="1:22" x14ac:dyDescent="0.25">
      <c r="A273" s="4">
        <v>2023</v>
      </c>
      <c r="B273" s="3" t="s">
        <v>243</v>
      </c>
      <c r="C273" s="3" t="s">
        <v>244</v>
      </c>
      <c r="D273" s="3" t="s">
        <v>245</v>
      </c>
      <c r="E273" s="3" t="s">
        <v>246</v>
      </c>
      <c r="F273" s="3" t="s">
        <v>300</v>
      </c>
      <c r="G273" s="3">
        <v>410</v>
      </c>
      <c r="H273" s="3">
        <v>10</v>
      </c>
      <c r="I273" s="3">
        <v>4</v>
      </c>
      <c r="J273" s="3">
        <v>3</v>
      </c>
      <c r="K273" s="3">
        <v>14</v>
      </c>
      <c r="L273" s="6" t="s">
        <v>87</v>
      </c>
      <c r="M273" s="2" t="s">
        <v>30</v>
      </c>
      <c r="N273" s="3">
        <v>9.89</v>
      </c>
      <c r="O273" s="3">
        <v>14.5</v>
      </c>
      <c r="P273" s="3">
        <v>46.7</v>
      </c>
      <c r="Q273" s="9">
        <f t="shared" si="21"/>
        <v>9.6090340909090912</v>
      </c>
      <c r="R273" s="10">
        <f t="shared" si="22"/>
        <v>754.95345358197892</v>
      </c>
      <c r="S273" s="10">
        <f t="shared" si="23"/>
        <v>673.46427616590449</v>
      </c>
      <c r="T273" s="7">
        <v>71</v>
      </c>
      <c r="U273" s="7">
        <v>50.6</v>
      </c>
    </row>
    <row r="274" spans="1:22" x14ac:dyDescent="0.25">
      <c r="A274" s="4">
        <v>2023</v>
      </c>
      <c r="B274" s="3" t="s">
        <v>243</v>
      </c>
      <c r="C274" s="3" t="s">
        <v>244</v>
      </c>
      <c r="D274" s="3" t="s">
        <v>245</v>
      </c>
      <c r="E274" s="3" t="s">
        <v>246</v>
      </c>
      <c r="F274" s="3" t="s">
        <v>301</v>
      </c>
      <c r="G274" s="3">
        <v>411</v>
      </c>
      <c r="H274" s="3">
        <v>11</v>
      </c>
      <c r="I274" s="3">
        <v>4</v>
      </c>
      <c r="J274" s="3">
        <v>3</v>
      </c>
      <c r="K274" s="3">
        <v>15</v>
      </c>
      <c r="L274" s="6" t="s">
        <v>87</v>
      </c>
      <c r="M274" s="2" t="s">
        <v>53</v>
      </c>
      <c r="N274" s="3">
        <v>10.66</v>
      </c>
      <c r="O274" s="3">
        <v>14.4</v>
      </c>
      <c r="P274" s="3">
        <v>46.7</v>
      </c>
      <c r="Q274" s="9">
        <f t="shared" si="21"/>
        <v>10.369272727272726</v>
      </c>
      <c r="R274" s="10">
        <f t="shared" si="22"/>
        <v>814.68315988119775</v>
      </c>
      <c r="S274" s="10">
        <f t="shared" si="23"/>
        <v>726.7467973962514</v>
      </c>
      <c r="T274" s="7">
        <v>70.7</v>
      </c>
      <c r="U274" s="7">
        <v>51.1</v>
      </c>
    </row>
    <row r="275" spans="1:22" x14ac:dyDescent="0.25">
      <c r="A275" s="4">
        <v>2023</v>
      </c>
      <c r="B275" s="3" t="s">
        <v>243</v>
      </c>
      <c r="C275" s="3" t="s">
        <v>244</v>
      </c>
      <c r="D275" s="3" t="s">
        <v>245</v>
      </c>
      <c r="E275" s="3" t="s">
        <v>246</v>
      </c>
      <c r="F275" s="3" t="s">
        <v>302</v>
      </c>
      <c r="G275" s="3">
        <v>412</v>
      </c>
      <c r="H275" s="3">
        <v>12</v>
      </c>
      <c r="I275" s="3">
        <v>4</v>
      </c>
      <c r="J275" s="3">
        <v>3</v>
      </c>
      <c r="K275" s="3">
        <v>6</v>
      </c>
      <c r="L275" s="6" t="s">
        <v>56</v>
      </c>
      <c r="M275" s="2" t="s">
        <v>53</v>
      </c>
      <c r="N275" s="3">
        <v>13.71</v>
      </c>
      <c r="O275" s="3">
        <v>16.5</v>
      </c>
      <c r="P275" s="3">
        <v>46.1</v>
      </c>
      <c r="Q275" s="9">
        <f t="shared" si="21"/>
        <v>13.008920454545455</v>
      </c>
      <c r="R275" s="10">
        <f t="shared" si="22"/>
        <v>1022.0724925748684</v>
      </c>
      <c r="S275" s="10">
        <f t="shared" si="23"/>
        <v>911.75066242182731</v>
      </c>
      <c r="T275" s="7">
        <v>72.8</v>
      </c>
      <c r="U275" s="7">
        <v>63.8</v>
      </c>
    </row>
    <row r="276" spans="1:22" x14ac:dyDescent="0.25">
      <c r="A276" s="4">
        <v>2023</v>
      </c>
      <c r="B276" s="3" t="s">
        <v>243</v>
      </c>
      <c r="C276" s="3" t="s">
        <v>244</v>
      </c>
      <c r="D276" s="3" t="s">
        <v>245</v>
      </c>
      <c r="E276" s="3" t="s">
        <v>246</v>
      </c>
      <c r="F276" s="3" t="s">
        <v>303</v>
      </c>
      <c r="G276" s="3">
        <v>413</v>
      </c>
      <c r="H276" s="3">
        <v>13</v>
      </c>
      <c r="I276" s="3">
        <v>4</v>
      </c>
      <c r="J276" s="3">
        <v>3</v>
      </c>
      <c r="K276" s="3">
        <v>13</v>
      </c>
      <c r="L276" s="6" t="s">
        <v>87</v>
      </c>
      <c r="M276" s="6" t="s">
        <v>658</v>
      </c>
      <c r="N276" s="3">
        <v>9.5</v>
      </c>
      <c r="O276" s="3">
        <v>13.5</v>
      </c>
      <c r="P276" s="3">
        <v>47.1</v>
      </c>
      <c r="Q276" s="9">
        <f t="shared" si="21"/>
        <v>9.3380681818181817</v>
      </c>
      <c r="R276" s="10">
        <f t="shared" si="22"/>
        <v>733.66446168791344</v>
      </c>
      <c r="S276" s="10">
        <f t="shared" si="23"/>
        <v>654.47320400349099</v>
      </c>
      <c r="T276" s="7">
        <v>71.400000000000006</v>
      </c>
      <c r="U276" s="7">
        <v>52.1</v>
      </c>
    </row>
    <row r="277" spans="1:22" x14ac:dyDescent="0.25">
      <c r="A277" s="4">
        <v>2023</v>
      </c>
      <c r="B277" s="3" t="s">
        <v>243</v>
      </c>
      <c r="C277" s="3" t="s">
        <v>244</v>
      </c>
      <c r="D277" s="3" t="s">
        <v>245</v>
      </c>
      <c r="E277" s="3" t="s">
        <v>246</v>
      </c>
      <c r="F277" s="3" t="s">
        <v>304</v>
      </c>
      <c r="G277" s="3">
        <v>414</v>
      </c>
      <c r="H277" s="3">
        <v>14</v>
      </c>
      <c r="I277" s="3">
        <v>4</v>
      </c>
      <c r="J277" s="3">
        <v>3</v>
      </c>
      <c r="K277" s="3">
        <v>2</v>
      </c>
      <c r="L277" s="6" t="s">
        <v>100</v>
      </c>
      <c r="M277" s="2" t="s">
        <v>30</v>
      </c>
      <c r="N277" s="3">
        <v>15.71</v>
      </c>
      <c r="O277" s="3">
        <v>18.899999999999999</v>
      </c>
      <c r="P277" s="3">
        <v>45.4</v>
      </c>
      <c r="Q277" s="9">
        <f t="shared" si="21"/>
        <v>14.478193181818183</v>
      </c>
      <c r="R277" s="10">
        <f t="shared" si="22"/>
        <v>1137.5089151345283</v>
      </c>
      <c r="S277" s="10">
        <f t="shared" si="23"/>
        <v>1014.7269537328531</v>
      </c>
      <c r="T277" s="7">
        <v>73.400000000000006</v>
      </c>
      <c r="U277" s="7">
        <v>61</v>
      </c>
    </row>
    <row r="278" spans="1:22" x14ac:dyDescent="0.25">
      <c r="A278" s="4">
        <v>2023</v>
      </c>
      <c r="B278" s="3" t="s">
        <v>243</v>
      </c>
      <c r="C278" s="3" t="s">
        <v>244</v>
      </c>
      <c r="D278" s="3" t="s">
        <v>245</v>
      </c>
      <c r="E278" s="3" t="s">
        <v>246</v>
      </c>
      <c r="F278" s="3" t="s">
        <v>305</v>
      </c>
      <c r="G278" s="3">
        <v>501</v>
      </c>
      <c r="H278" s="3">
        <v>1</v>
      </c>
      <c r="I278" s="3">
        <v>5</v>
      </c>
      <c r="J278" s="3">
        <v>3</v>
      </c>
      <c r="K278" s="3">
        <v>18</v>
      </c>
      <c r="L278" s="6" t="s">
        <v>42</v>
      </c>
      <c r="M278" s="2" t="s">
        <v>53</v>
      </c>
      <c r="N278" s="3">
        <v>11.38</v>
      </c>
      <c r="O278" s="3">
        <v>8.9700000000000006</v>
      </c>
      <c r="P278" s="3">
        <v>45.7</v>
      </c>
      <c r="Q278" s="9">
        <f t="shared" si="21"/>
        <v>11.771834090909092</v>
      </c>
      <c r="R278" s="10">
        <f t="shared" si="22"/>
        <v>924.87826745602649</v>
      </c>
      <c r="S278" s="10">
        <f t="shared" si="23"/>
        <v>825.04751780198615</v>
      </c>
      <c r="T278" s="7">
        <v>73.099999999999994</v>
      </c>
      <c r="U278" s="7">
        <v>67</v>
      </c>
    </row>
    <row r="279" spans="1:22" x14ac:dyDescent="0.25">
      <c r="A279" s="4">
        <v>2023</v>
      </c>
      <c r="B279" s="3" t="s">
        <v>243</v>
      </c>
      <c r="C279" s="3" t="s">
        <v>244</v>
      </c>
      <c r="D279" s="3" t="s">
        <v>245</v>
      </c>
      <c r="E279" s="3" t="s">
        <v>246</v>
      </c>
      <c r="F279" s="3" t="s">
        <v>306</v>
      </c>
      <c r="G279" s="3">
        <v>502</v>
      </c>
      <c r="H279" s="3">
        <v>2</v>
      </c>
      <c r="I279" s="3">
        <v>5</v>
      </c>
      <c r="J279" s="3">
        <v>3</v>
      </c>
      <c r="K279" s="3">
        <v>9</v>
      </c>
      <c r="L279" s="6" t="s">
        <v>69</v>
      </c>
      <c r="M279" s="2" t="s">
        <v>53</v>
      </c>
      <c r="N279" s="3">
        <v>13.37</v>
      </c>
      <c r="O279" s="3">
        <v>6.11</v>
      </c>
      <c r="P279" s="3">
        <v>47</v>
      </c>
      <c r="Q279" s="9">
        <f t="shared" si="21"/>
        <v>14.264878409090908</v>
      </c>
      <c r="R279" s="10">
        <f t="shared" si="22"/>
        <v>1120.7494029039631</v>
      </c>
      <c r="S279" s="10">
        <f t="shared" si="23"/>
        <v>999.7764521890839</v>
      </c>
      <c r="T279" s="7">
        <v>72</v>
      </c>
      <c r="U279" s="7">
        <v>54.7</v>
      </c>
    </row>
    <row r="280" spans="1:22" x14ac:dyDescent="0.25">
      <c r="A280" s="4">
        <v>2023</v>
      </c>
      <c r="B280" s="3" t="s">
        <v>243</v>
      </c>
      <c r="C280" s="3" t="s">
        <v>244</v>
      </c>
      <c r="D280" s="3" t="s">
        <v>245</v>
      </c>
      <c r="E280" s="3" t="s">
        <v>246</v>
      </c>
      <c r="F280" s="3" t="s">
        <v>307</v>
      </c>
      <c r="G280" s="3">
        <v>503</v>
      </c>
      <c r="H280" s="3">
        <v>3</v>
      </c>
      <c r="I280" s="3">
        <v>5</v>
      </c>
      <c r="J280" s="3">
        <v>3</v>
      </c>
      <c r="K280" s="3">
        <v>3</v>
      </c>
      <c r="L280" s="6" t="s">
        <v>100</v>
      </c>
      <c r="M280" s="2" t="s">
        <v>53</v>
      </c>
      <c r="N280" s="3">
        <v>14.49</v>
      </c>
      <c r="O280" s="3">
        <v>17.899999999999999</v>
      </c>
      <c r="P280" s="3">
        <v>45.7</v>
      </c>
      <c r="Q280" s="9">
        <f t="shared" si="21"/>
        <v>13.518511363636362</v>
      </c>
      <c r="R280" s="10">
        <f t="shared" si="22"/>
        <v>1062.1095465693102</v>
      </c>
      <c r="S280" s="10">
        <f t="shared" si="23"/>
        <v>947.46614323756478</v>
      </c>
      <c r="T280" s="7">
        <v>71.7</v>
      </c>
      <c r="U280" s="7">
        <v>54.4</v>
      </c>
    </row>
    <row r="281" spans="1:22" x14ac:dyDescent="0.25">
      <c r="A281" s="4">
        <v>2023</v>
      </c>
      <c r="B281" s="3" t="s">
        <v>243</v>
      </c>
      <c r="C281" s="3" t="s">
        <v>244</v>
      </c>
      <c r="D281" s="3" t="s">
        <v>245</v>
      </c>
      <c r="E281" s="3" t="s">
        <v>246</v>
      </c>
      <c r="F281" s="3" t="s">
        <v>308</v>
      </c>
      <c r="G281" s="3">
        <v>504</v>
      </c>
      <c r="H281" s="3">
        <v>4</v>
      </c>
      <c r="I281" s="3">
        <v>5</v>
      </c>
      <c r="J281" s="3">
        <v>3</v>
      </c>
      <c r="K281" s="3">
        <v>5</v>
      </c>
      <c r="L281" s="6" t="s">
        <v>56</v>
      </c>
      <c r="M281" s="2" t="s">
        <v>30</v>
      </c>
      <c r="N281" s="3">
        <v>13.45</v>
      </c>
      <c r="O281" s="3">
        <v>17.600000000000001</v>
      </c>
      <c r="P281" s="3">
        <v>45.6</v>
      </c>
      <c r="Q281" s="9">
        <f t="shared" si="21"/>
        <v>12.594090909090907</v>
      </c>
      <c r="R281" s="10">
        <f t="shared" si="22"/>
        <v>989.48055929355723</v>
      </c>
      <c r="S281" s="10">
        <f t="shared" si="23"/>
        <v>882.67668090415452</v>
      </c>
      <c r="T281" s="7">
        <v>73.099999999999994</v>
      </c>
      <c r="U281" s="7">
        <v>64.900000000000006</v>
      </c>
    </row>
    <row r="282" spans="1:22" x14ac:dyDescent="0.25">
      <c r="A282" s="4">
        <v>2023</v>
      </c>
      <c r="B282" s="3" t="s">
        <v>243</v>
      </c>
      <c r="C282" s="3" t="s">
        <v>244</v>
      </c>
      <c r="D282" s="3" t="s">
        <v>245</v>
      </c>
      <c r="E282" s="3" t="s">
        <v>246</v>
      </c>
      <c r="F282" s="3" t="s">
        <v>309</v>
      </c>
      <c r="G282" s="3">
        <v>505</v>
      </c>
      <c r="H282" s="3">
        <v>5</v>
      </c>
      <c r="I282" s="3">
        <v>5</v>
      </c>
      <c r="J282" s="3">
        <v>3</v>
      </c>
      <c r="K282" s="3">
        <v>19</v>
      </c>
      <c r="L282" s="6" t="s">
        <v>113</v>
      </c>
      <c r="M282" s="6" t="s">
        <v>658</v>
      </c>
      <c r="N282" s="3">
        <v>11</v>
      </c>
      <c r="O282" s="3">
        <v>22.4</v>
      </c>
      <c r="P282" s="3">
        <v>44.3</v>
      </c>
      <c r="Q282" s="9">
        <f t="shared" si="21"/>
        <v>9.6999999999999993</v>
      </c>
      <c r="R282" s="10">
        <f t="shared" si="22"/>
        <v>762.10037663133926</v>
      </c>
      <c r="S282" s="10">
        <f t="shared" si="23"/>
        <v>679.8397650591786</v>
      </c>
      <c r="T282" s="7">
        <v>69.5</v>
      </c>
      <c r="U282" s="7">
        <v>61.7</v>
      </c>
    </row>
    <row r="283" spans="1:22" x14ac:dyDescent="0.25">
      <c r="A283" s="4">
        <v>2023</v>
      </c>
      <c r="B283" s="3" t="s">
        <v>243</v>
      </c>
      <c r="C283" s="3" t="s">
        <v>244</v>
      </c>
      <c r="D283" s="3" t="s">
        <v>245</v>
      </c>
      <c r="E283" s="3" t="s">
        <v>246</v>
      </c>
      <c r="F283" s="3" t="s">
        <v>310</v>
      </c>
      <c r="G283" s="3">
        <v>506</v>
      </c>
      <c r="H283" s="3">
        <v>6</v>
      </c>
      <c r="I283" s="3">
        <v>5</v>
      </c>
      <c r="J283" s="3">
        <v>3</v>
      </c>
      <c r="K283" s="3">
        <v>12</v>
      </c>
      <c r="L283" s="6" t="s">
        <v>27</v>
      </c>
      <c r="M283" s="2" t="s">
        <v>53</v>
      </c>
      <c r="N283" s="3">
        <v>12.21</v>
      </c>
      <c r="O283" s="3">
        <v>21</v>
      </c>
      <c r="P283" s="3">
        <v>44.5</v>
      </c>
      <c r="Q283" s="9">
        <f t="shared" si="21"/>
        <v>10.961250000000001</v>
      </c>
      <c r="R283" s="10">
        <f t="shared" si="22"/>
        <v>861.19306735569774</v>
      </c>
      <c r="S283" s="10">
        <f t="shared" si="23"/>
        <v>768.23645616030126</v>
      </c>
      <c r="T283" s="7">
        <v>75</v>
      </c>
      <c r="U283" s="7">
        <v>68.3</v>
      </c>
    </row>
    <row r="284" spans="1:22" x14ac:dyDescent="0.25">
      <c r="A284" s="4">
        <v>2023</v>
      </c>
      <c r="B284" s="3" t="s">
        <v>243</v>
      </c>
      <c r="C284" s="3" t="s">
        <v>244</v>
      </c>
      <c r="D284" s="3" t="s">
        <v>245</v>
      </c>
      <c r="E284" s="3" t="s">
        <v>246</v>
      </c>
      <c r="F284" s="3" t="s">
        <v>311</v>
      </c>
      <c r="G284" s="3">
        <v>507</v>
      </c>
      <c r="H284" s="3">
        <v>7</v>
      </c>
      <c r="I284" s="3">
        <v>5</v>
      </c>
      <c r="J284" s="3">
        <v>3</v>
      </c>
      <c r="K284" s="3" t="s">
        <v>268</v>
      </c>
      <c r="L284" s="6" t="s">
        <v>269</v>
      </c>
      <c r="M284" s="6" t="s">
        <v>658</v>
      </c>
      <c r="N284" s="3">
        <v>4.93</v>
      </c>
      <c r="O284" s="3">
        <v>21.5</v>
      </c>
      <c r="P284" s="3">
        <v>43.9</v>
      </c>
      <c r="Q284" s="9">
        <f t="shared" si="21"/>
        <v>4.3977840909090906</v>
      </c>
      <c r="R284" s="10">
        <f t="shared" si="22"/>
        <v>345.52091876547723</v>
      </c>
      <c r="S284" s="10">
        <f t="shared" si="23"/>
        <v>308.22561888088961</v>
      </c>
      <c r="T284" s="7">
        <v>70.400000000000006</v>
      </c>
      <c r="U284" s="7">
        <v>58.4</v>
      </c>
      <c r="V284" s="12"/>
    </row>
    <row r="285" spans="1:22" x14ac:dyDescent="0.25">
      <c r="A285" s="4">
        <v>2023</v>
      </c>
      <c r="B285" s="3" t="s">
        <v>243</v>
      </c>
      <c r="C285" s="3" t="s">
        <v>244</v>
      </c>
      <c r="D285" s="3" t="s">
        <v>245</v>
      </c>
      <c r="E285" s="3" t="s">
        <v>246</v>
      </c>
      <c r="F285" s="3" t="s">
        <v>312</v>
      </c>
      <c r="G285" s="3">
        <v>508</v>
      </c>
      <c r="H285" s="3">
        <v>8</v>
      </c>
      <c r="I285" s="3">
        <v>5</v>
      </c>
      <c r="J285" s="3">
        <v>4</v>
      </c>
      <c r="K285" s="3">
        <v>13</v>
      </c>
      <c r="L285" s="6" t="s">
        <v>87</v>
      </c>
      <c r="M285" s="6" t="s">
        <v>658</v>
      </c>
      <c r="N285" s="3">
        <v>10.02</v>
      </c>
      <c r="O285" s="3">
        <v>13.7</v>
      </c>
      <c r="P285" s="3">
        <v>47</v>
      </c>
      <c r="Q285" s="9">
        <f t="shared" si="21"/>
        <v>9.8264318181818169</v>
      </c>
      <c r="R285" s="10">
        <f t="shared" si="22"/>
        <v>772.03375150294198</v>
      </c>
      <c r="S285" s="10">
        <f t="shared" si="23"/>
        <v>688.7009380044085</v>
      </c>
      <c r="T285" s="7">
        <v>71.599999999999994</v>
      </c>
      <c r="U285" s="7">
        <v>49</v>
      </c>
      <c r="V285" s="12"/>
    </row>
    <row r="286" spans="1:22" x14ac:dyDescent="0.25">
      <c r="A286" s="4">
        <v>2023</v>
      </c>
      <c r="B286" s="3" t="s">
        <v>243</v>
      </c>
      <c r="C286" s="3" t="s">
        <v>244</v>
      </c>
      <c r="D286" s="3" t="s">
        <v>245</v>
      </c>
      <c r="E286" s="3" t="s">
        <v>246</v>
      </c>
      <c r="F286" s="3" t="s">
        <v>313</v>
      </c>
      <c r="G286" s="3">
        <v>509</v>
      </c>
      <c r="H286" s="3">
        <v>9</v>
      </c>
      <c r="I286" s="3">
        <v>5</v>
      </c>
      <c r="J286" s="3">
        <v>4</v>
      </c>
      <c r="K286" s="3">
        <v>10</v>
      </c>
      <c r="L286" s="6" t="s">
        <v>27</v>
      </c>
      <c r="M286" s="6" t="s">
        <v>658</v>
      </c>
      <c r="N286" s="3">
        <v>12.84</v>
      </c>
      <c r="O286" s="3">
        <v>19.8</v>
      </c>
      <c r="P286" s="3">
        <v>45.1</v>
      </c>
      <c r="Q286" s="9">
        <f t="shared" ref="Q286:Q306" si="24">N286*(1-O286/100)/(1-0.12)</f>
        <v>11.701909090909091</v>
      </c>
      <c r="R286" s="10">
        <f t="shared" ref="R286:R305" si="25">((10000*Q286*12%/2.205))/((4.66*16)/10.764)</f>
        <v>919.38446654510403</v>
      </c>
      <c r="S286" s="10">
        <f t="shared" ref="S286:S305" si="26">R286/1.121</f>
        <v>820.14671413479391</v>
      </c>
      <c r="T286" s="7">
        <v>75.3</v>
      </c>
      <c r="U286" s="7">
        <v>67.7</v>
      </c>
      <c r="V286" s="12"/>
    </row>
    <row r="287" spans="1:22" x14ac:dyDescent="0.25">
      <c r="A287" s="4">
        <v>2023</v>
      </c>
      <c r="B287" s="3" t="s">
        <v>243</v>
      </c>
      <c r="C287" s="3" t="s">
        <v>244</v>
      </c>
      <c r="D287" s="3" t="s">
        <v>245</v>
      </c>
      <c r="E287" s="3" t="s">
        <v>246</v>
      </c>
      <c r="F287" s="3" t="s">
        <v>314</v>
      </c>
      <c r="G287" s="3">
        <v>510</v>
      </c>
      <c r="H287" s="3">
        <v>10</v>
      </c>
      <c r="I287" s="3">
        <v>5</v>
      </c>
      <c r="J287" s="3">
        <v>4</v>
      </c>
      <c r="K287" s="3">
        <v>5</v>
      </c>
      <c r="L287" s="6" t="s">
        <v>56</v>
      </c>
      <c r="M287" s="2" t="s">
        <v>30</v>
      </c>
      <c r="N287" s="3">
        <v>13.48</v>
      </c>
      <c r="O287" s="3">
        <v>16.399999999999999</v>
      </c>
      <c r="P287" s="3">
        <v>46.2</v>
      </c>
      <c r="Q287" s="9">
        <f t="shared" si="24"/>
        <v>12.806000000000003</v>
      </c>
      <c r="R287" s="10">
        <f t="shared" si="25"/>
        <v>1006.1296312516423</v>
      </c>
      <c r="S287" s="10">
        <f t="shared" si="26"/>
        <v>897.52866302555071</v>
      </c>
      <c r="T287" s="7">
        <v>73.099999999999994</v>
      </c>
      <c r="U287" s="7">
        <v>64.3</v>
      </c>
      <c r="V287" s="12"/>
    </row>
    <row r="288" spans="1:22" x14ac:dyDescent="0.25">
      <c r="A288" s="4">
        <v>2023</v>
      </c>
      <c r="B288" s="3" t="s">
        <v>243</v>
      </c>
      <c r="C288" s="3" t="s">
        <v>244</v>
      </c>
      <c r="D288" s="3" t="s">
        <v>245</v>
      </c>
      <c r="E288" s="3" t="s">
        <v>246</v>
      </c>
      <c r="F288" s="3" t="s">
        <v>315</v>
      </c>
      <c r="G288" s="3">
        <v>511</v>
      </c>
      <c r="H288" s="3">
        <v>11</v>
      </c>
      <c r="I288" s="3">
        <v>5</v>
      </c>
      <c r="J288" s="3">
        <v>4</v>
      </c>
      <c r="K288" s="3">
        <v>9</v>
      </c>
      <c r="L288" s="6" t="s">
        <v>69</v>
      </c>
      <c r="M288" s="2" t="s">
        <v>53</v>
      </c>
      <c r="N288" s="3">
        <v>14.55</v>
      </c>
      <c r="O288" s="3">
        <v>15.1</v>
      </c>
      <c r="P288" s="3">
        <v>46.9</v>
      </c>
      <c r="Q288" s="9">
        <f t="shared" si="24"/>
        <v>14.037443181818182</v>
      </c>
      <c r="R288" s="10">
        <f t="shared" si="25"/>
        <v>1102.8804882272848</v>
      </c>
      <c r="S288" s="10">
        <f t="shared" si="26"/>
        <v>983.83629636689102</v>
      </c>
      <c r="T288" s="7">
        <v>71.599999999999994</v>
      </c>
      <c r="U288" s="7">
        <v>55.9</v>
      </c>
      <c r="V288" s="12"/>
    </row>
    <row r="289" spans="1:22" x14ac:dyDescent="0.25">
      <c r="A289" s="4">
        <v>2023</v>
      </c>
      <c r="B289" s="3" t="s">
        <v>243</v>
      </c>
      <c r="C289" s="3" t="s">
        <v>244</v>
      </c>
      <c r="D289" s="3" t="s">
        <v>245</v>
      </c>
      <c r="E289" s="3" t="s">
        <v>246</v>
      </c>
      <c r="F289" s="3" t="s">
        <v>316</v>
      </c>
      <c r="G289" s="3">
        <v>512</v>
      </c>
      <c r="H289" s="3">
        <v>12</v>
      </c>
      <c r="I289" s="3">
        <v>5</v>
      </c>
      <c r="J289" s="3">
        <v>4</v>
      </c>
      <c r="K289" s="3">
        <v>8</v>
      </c>
      <c r="L289" s="6" t="s">
        <v>69</v>
      </c>
      <c r="M289" s="2" t="s">
        <v>30</v>
      </c>
      <c r="N289" s="3">
        <v>13.51</v>
      </c>
      <c r="O289" s="3">
        <v>15.5</v>
      </c>
      <c r="P289" s="3">
        <v>46.7</v>
      </c>
      <c r="Q289" s="9">
        <f t="shared" si="24"/>
        <v>12.972670454545453</v>
      </c>
      <c r="R289" s="10">
        <f t="shared" si="25"/>
        <v>1019.2244370436428</v>
      </c>
      <c r="S289" s="10">
        <f t="shared" si="26"/>
        <v>909.21002412456983</v>
      </c>
      <c r="T289" s="7">
        <v>71.5</v>
      </c>
      <c r="U289" s="7">
        <v>57.2</v>
      </c>
      <c r="V289" s="12"/>
    </row>
    <row r="290" spans="1:22" x14ac:dyDescent="0.25">
      <c r="A290" s="4">
        <v>2023</v>
      </c>
      <c r="B290" s="3" t="s">
        <v>243</v>
      </c>
      <c r="C290" s="3" t="s">
        <v>244</v>
      </c>
      <c r="D290" s="3" t="s">
        <v>245</v>
      </c>
      <c r="E290" s="3" t="s">
        <v>246</v>
      </c>
      <c r="F290" s="3" t="s">
        <v>317</v>
      </c>
      <c r="G290" s="3">
        <v>513</v>
      </c>
      <c r="H290" s="3">
        <v>13</v>
      </c>
      <c r="I290" s="3">
        <v>5</v>
      </c>
      <c r="J290" s="3">
        <v>4</v>
      </c>
      <c r="K290" s="3">
        <v>3</v>
      </c>
      <c r="L290" s="6" t="s">
        <v>100</v>
      </c>
      <c r="M290" s="2" t="s">
        <v>53</v>
      </c>
      <c r="N290" s="3">
        <v>16.25</v>
      </c>
      <c r="O290" s="3">
        <v>17.8</v>
      </c>
      <c r="P290" s="3">
        <v>45.8</v>
      </c>
      <c r="Q290" s="9">
        <f t="shared" si="24"/>
        <v>15.178977272727273</v>
      </c>
      <c r="R290" s="10">
        <f t="shared" si="25"/>
        <v>1192.5674532395869</v>
      </c>
      <c r="S290" s="10">
        <f t="shared" si="26"/>
        <v>1063.842509580363</v>
      </c>
      <c r="T290" s="7">
        <v>72.8</v>
      </c>
      <c r="U290" s="7">
        <v>57.9</v>
      </c>
      <c r="V290" s="12"/>
    </row>
    <row r="291" spans="1:22" x14ac:dyDescent="0.25">
      <c r="A291" s="4">
        <v>2023</v>
      </c>
      <c r="B291" s="3" t="s">
        <v>243</v>
      </c>
      <c r="C291" s="3" t="s">
        <v>244</v>
      </c>
      <c r="D291" s="3" t="s">
        <v>245</v>
      </c>
      <c r="E291" s="3" t="s">
        <v>246</v>
      </c>
      <c r="F291" s="3" t="s">
        <v>318</v>
      </c>
      <c r="G291" s="3">
        <v>514</v>
      </c>
      <c r="H291" s="3">
        <v>14</v>
      </c>
      <c r="I291" s="3">
        <v>5</v>
      </c>
      <c r="J291" s="3">
        <v>4</v>
      </c>
      <c r="K291" s="3">
        <v>16</v>
      </c>
      <c r="L291" s="6" t="s">
        <v>42</v>
      </c>
      <c r="M291" s="6" t="s">
        <v>658</v>
      </c>
      <c r="N291" s="3">
        <v>10.69</v>
      </c>
      <c r="O291" s="3">
        <v>16.399999999999999</v>
      </c>
      <c r="P291" s="3">
        <v>46.1</v>
      </c>
      <c r="Q291" s="9">
        <f t="shared" si="24"/>
        <v>10.1555</v>
      </c>
      <c r="R291" s="10">
        <f t="shared" si="25"/>
        <v>797.88766751335731</v>
      </c>
      <c r="S291" s="10">
        <f t="shared" si="26"/>
        <v>711.76419938747313</v>
      </c>
      <c r="T291" s="7">
        <v>72.8</v>
      </c>
      <c r="U291" s="7">
        <v>68.099999999999994</v>
      </c>
      <c r="V291" s="12"/>
    </row>
    <row r="292" spans="1:22" x14ac:dyDescent="0.25">
      <c r="A292" s="4">
        <v>2023</v>
      </c>
      <c r="B292" s="3" t="s">
        <v>243</v>
      </c>
      <c r="C292" s="3" t="s">
        <v>244</v>
      </c>
      <c r="D292" s="3" t="s">
        <v>245</v>
      </c>
      <c r="E292" s="3" t="s">
        <v>246</v>
      </c>
      <c r="F292" s="3" t="s">
        <v>319</v>
      </c>
      <c r="G292" s="3">
        <v>601</v>
      </c>
      <c r="H292" s="3">
        <v>1</v>
      </c>
      <c r="I292" s="3">
        <v>6</v>
      </c>
      <c r="J292" s="3">
        <v>4</v>
      </c>
      <c r="K292" s="3">
        <v>2</v>
      </c>
      <c r="L292" s="6" t="s">
        <v>100</v>
      </c>
      <c r="M292" s="2" t="s">
        <v>30</v>
      </c>
      <c r="N292" s="3">
        <v>13.54</v>
      </c>
      <c r="O292" s="3">
        <v>11.9</v>
      </c>
      <c r="P292" s="3">
        <v>45.1</v>
      </c>
      <c r="Q292" s="9">
        <f t="shared" si="24"/>
        <v>13.555386363636362</v>
      </c>
      <c r="R292" s="10">
        <f t="shared" si="25"/>
        <v>1065.0067065062465</v>
      </c>
      <c r="S292" s="10">
        <f t="shared" si="26"/>
        <v>950.05058564339561</v>
      </c>
      <c r="T292" s="7">
        <v>73.2</v>
      </c>
      <c r="U292" s="7">
        <v>59.5</v>
      </c>
      <c r="V292" s="12"/>
    </row>
    <row r="293" spans="1:22" x14ac:dyDescent="0.25">
      <c r="A293" s="4">
        <v>2023</v>
      </c>
      <c r="B293" s="3" t="s">
        <v>243</v>
      </c>
      <c r="C293" s="3" t="s">
        <v>244</v>
      </c>
      <c r="D293" s="3" t="s">
        <v>245</v>
      </c>
      <c r="E293" s="3" t="s">
        <v>246</v>
      </c>
      <c r="F293" s="3" t="s">
        <v>320</v>
      </c>
      <c r="G293" s="3">
        <v>602</v>
      </c>
      <c r="H293" s="3">
        <v>2</v>
      </c>
      <c r="I293" s="3">
        <v>6</v>
      </c>
      <c r="J293" s="3">
        <v>4</v>
      </c>
      <c r="K293" s="3">
        <v>15</v>
      </c>
      <c r="L293" s="6" t="s">
        <v>87</v>
      </c>
      <c r="M293" s="2" t="s">
        <v>53</v>
      </c>
      <c r="N293" s="3">
        <v>13.36</v>
      </c>
      <c r="O293" s="3">
        <v>9.82</v>
      </c>
      <c r="P293" s="3">
        <v>45.3</v>
      </c>
      <c r="Q293" s="9">
        <f t="shared" si="24"/>
        <v>13.690963636363634</v>
      </c>
      <c r="R293" s="10">
        <f t="shared" si="25"/>
        <v>1075.6586127545045</v>
      </c>
      <c r="S293" s="10">
        <f t="shared" si="26"/>
        <v>959.55273216280511</v>
      </c>
      <c r="T293" s="7">
        <v>71.3</v>
      </c>
      <c r="U293" s="7">
        <v>53.4</v>
      </c>
      <c r="V293" s="12"/>
    </row>
    <row r="294" spans="1:22" x14ac:dyDescent="0.25">
      <c r="A294" s="4">
        <v>2023</v>
      </c>
      <c r="B294" s="3" t="s">
        <v>243</v>
      </c>
      <c r="C294" s="3" t="s">
        <v>244</v>
      </c>
      <c r="D294" s="3" t="s">
        <v>245</v>
      </c>
      <c r="E294" s="3" t="s">
        <v>246</v>
      </c>
      <c r="F294" s="3" t="s">
        <v>321</v>
      </c>
      <c r="G294" s="3">
        <v>603</v>
      </c>
      <c r="H294" s="3">
        <v>3</v>
      </c>
      <c r="I294" s="3">
        <v>6</v>
      </c>
      <c r="J294" s="3">
        <v>4</v>
      </c>
      <c r="K294" s="3">
        <v>1</v>
      </c>
      <c r="L294" s="6" t="s">
        <v>100</v>
      </c>
      <c r="M294" s="6" t="s">
        <v>658</v>
      </c>
      <c r="N294" s="3">
        <v>14.9</v>
      </c>
      <c r="O294" s="3">
        <v>19.600000000000001</v>
      </c>
      <c r="P294" s="3">
        <v>45.2</v>
      </c>
      <c r="Q294" s="9">
        <f t="shared" si="24"/>
        <v>13.61318181818182</v>
      </c>
      <c r="R294" s="10">
        <f t="shared" si="25"/>
        <v>1069.5475248234293</v>
      </c>
      <c r="S294" s="10">
        <f t="shared" si="26"/>
        <v>954.10127102892886</v>
      </c>
      <c r="T294" s="7">
        <v>72.099999999999994</v>
      </c>
      <c r="U294" s="7">
        <v>55.7</v>
      </c>
      <c r="V294" s="12"/>
    </row>
    <row r="295" spans="1:22" x14ac:dyDescent="0.25">
      <c r="A295" s="4">
        <v>2023</v>
      </c>
      <c r="B295" s="3" t="s">
        <v>243</v>
      </c>
      <c r="C295" s="3" t="s">
        <v>244</v>
      </c>
      <c r="D295" s="3" t="s">
        <v>245</v>
      </c>
      <c r="E295" s="3" t="s">
        <v>246</v>
      </c>
      <c r="F295" s="3" t="s">
        <v>322</v>
      </c>
      <c r="G295" s="3">
        <v>604</v>
      </c>
      <c r="H295" s="3">
        <v>4</v>
      </c>
      <c r="I295" s="3">
        <v>6</v>
      </c>
      <c r="J295" s="3">
        <v>4</v>
      </c>
      <c r="K295" s="3">
        <v>12</v>
      </c>
      <c r="L295" s="6" t="s">
        <v>27</v>
      </c>
      <c r="M295" s="2" t="s">
        <v>53</v>
      </c>
      <c r="N295" s="3">
        <v>13.48</v>
      </c>
      <c r="O295" s="3">
        <v>23</v>
      </c>
      <c r="P295" s="3">
        <v>44</v>
      </c>
      <c r="Q295" s="9">
        <f t="shared" si="24"/>
        <v>11.795</v>
      </c>
      <c r="R295" s="10">
        <f t="shared" si="25"/>
        <v>926.69834457388106</v>
      </c>
      <c r="S295" s="10">
        <f t="shared" si="26"/>
        <v>826.67113699721767</v>
      </c>
      <c r="T295" s="7">
        <v>74.8</v>
      </c>
      <c r="U295" s="7">
        <v>67.599999999999994</v>
      </c>
      <c r="V295" s="12"/>
    </row>
    <row r="296" spans="1:22" x14ac:dyDescent="0.25">
      <c r="A296" s="4">
        <v>2023</v>
      </c>
      <c r="B296" s="3" t="s">
        <v>243</v>
      </c>
      <c r="C296" s="3" t="s">
        <v>244</v>
      </c>
      <c r="D296" s="3" t="s">
        <v>245</v>
      </c>
      <c r="E296" s="3" t="s">
        <v>246</v>
      </c>
      <c r="F296" s="3" t="s">
        <v>323</v>
      </c>
      <c r="G296" s="3">
        <v>605</v>
      </c>
      <c r="H296" s="3">
        <v>5</v>
      </c>
      <c r="I296" s="3">
        <v>6</v>
      </c>
      <c r="J296" s="3">
        <v>4</v>
      </c>
      <c r="K296" s="3">
        <v>14</v>
      </c>
      <c r="L296" s="6" t="s">
        <v>87</v>
      </c>
      <c r="M296" s="2" t="s">
        <v>30</v>
      </c>
      <c r="N296" s="3">
        <v>10.84</v>
      </c>
      <c r="O296" s="3">
        <v>15.6</v>
      </c>
      <c r="P296" s="3">
        <v>46.1</v>
      </c>
      <c r="Q296" s="9">
        <f t="shared" si="24"/>
        <v>10.396545454545453</v>
      </c>
      <c r="R296" s="10">
        <f t="shared" si="25"/>
        <v>816.825897584941</v>
      </c>
      <c r="S296" s="10">
        <f t="shared" si="26"/>
        <v>728.65824940672701</v>
      </c>
      <c r="T296" s="7">
        <v>71</v>
      </c>
      <c r="U296" s="7">
        <v>51.5</v>
      </c>
      <c r="V296" s="12"/>
    </row>
    <row r="297" spans="1:22" x14ac:dyDescent="0.25">
      <c r="A297" s="4">
        <v>2023</v>
      </c>
      <c r="B297" s="3" t="s">
        <v>243</v>
      </c>
      <c r="C297" s="3" t="s">
        <v>244</v>
      </c>
      <c r="D297" s="3" t="s">
        <v>245</v>
      </c>
      <c r="E297" s="3" t="s">
        <v>246</v>
      </c>
      <c r="F297" s="3" t="s">
        <v>324</v>
      </c>
      <c r="G297" s="3">
        <v>606</v>
      </c>
      <c r="H297" s="3">
        <v>6</v>
      </c>
      <c r="I297" s="3">
        <v>6</v>
      </c>
      <c r="J297" s="3">
        <v>4</v>
      </c>
      <c r="K297" s="3">
        <v>17</v>
      </c>
      <c r="L297" s="6" t="s">
        <v>42</v>
      </c>
      <c r="M297" s="2" t="s">
        <v>30</v>
      </c>
      <c r="N297" s="3">
        <v>11.94</v>
      </c>
      <c r="O297" s="3">
        <v>18.3</v>
      </c>
      <c r="P297" s="3">
        <v>45.3</v>
      </c>
      <c r="Q297" s="9">
        <f t="shared" si="24"/>
        <v>11.085204545454545</v>
      </c>
      <c r="R297" s="10">
        <f t="shared" si="25"/>
        <v>870.93181021921043</v>
      </c>
      <c r="S297" s="10">
        <f t="shared" si="26"/>
        <v>776.924005547913</v>
      </c>
      <c r="T297" s="7">
        <v>72.900000000000006</v>
      </c>
      <c r="U297" s="7">
        <v>67.400000000000006</v>
      </c>
      <c r="V297" s="12"/>
    </row>
    <row r="298" spans="1:22" x14ac:dyDescent="0.25">
      <c r="A298" s="4">
        <v>2023</v>
      </c>
      <c r="B298" s="3" t="s">
        <v>243</v>
      </c>
      <c r="C298" s="3" t="s">
        <v>244</v>
      </c>
      <c r="D298" s="3" t="s">
        <v>245</v>
      </c>
      <c r="E298" s="3" t="s">
        <v>246</v>
      </c>
      <c r="F298" s="3" t="s">
        <v>325</v>
      </c>
      <c r="G298" s="3">
        <v>607</v>
      </c>
      <c r="H298" s="3">
        <v>7</v>
      </c>
      <c r="I298" s="3">
        <v>6</v>
      </c>
      <c r="J298" s="3">
        <v>4</v>
      </c>
      <c r="K298" s="3">
        <v>19</v>
      </c>
      <c r="L298" s="6" t="s">
        <v>113</v>
      </c>
      <c r="M298" s="6" t="s">
        <v>658</v>
      </c>
      <c r="N298" s="3">
        <v>11.86</v>
      </c>
      <c r="O298" s="3">
        <v>27.5</v>
      </c>
      <c r="P298" s="3">
        <v>43</v>
      </c>
      <c r="Q298" s="9">
        <f t="shared" si="24"/>
        <v>9.7710227272727259</v>
      </c>
      <c r="R298" s="10">
        <f t="shared" si="25"/>
        <v>767.68042273483707</v>
      </c>
      <c r="S298" s="10">
        <f t="shared" si="26"/>
        <v>684.81750466979224</v>
      </c>
      <c r="T298" s="7">
        <v>68.7</v>
      </c>
      <c r="U298" s="7">
        <v>60.7</v>
      </c>
      <c r="V298" s="12"/>
    </row>
    <row r="299" spans="1:22" x14ac:dyDescent="0.25">
      <c r="A299" s="4">
        <v>2023</v>
      </c>
      <c r="B299" s="3" t="s">
        <v>243</v>
      </c>
      <c r="C299" s="3" t="s">
        <v>244</v>
      </c>
      <c r="D299" s="3" t="s">
        <v>245</v>
      </c>
      <c r="E299" s="3" t="s">
        <v>246</v>
      </c>
      <c r="F299" s="3" t="s">
        <v>326</v>
      </c>
      <c r="G299" s="3">
        <v>608</v>
      </c>
      <c r="H299" s="3">
        <v>8</v>
      </c>
      <c r="I299" s="3">
        <v>6</v>
      </c>
      <c r="J299" s="3">
        <v>4</v>
      </c>
      <c r="K299" s="3">
        <v>18</v>
      </c>
      <c r="L299" s="6" t="s">
        <v>42</v>
      </c>
      <c r="M299" s="2" t="s">
        <v>53</v>
      </c>
      <c r="N299" s="3">
        <v>10.51</v>
      </c>
      <c r="O299" s="3">
        <v>16.7</v>
      </c>
      <c r="P299" s="3">
        <v>46</v>
      </c>
      <c r="Q299" s="9">
        <f t="shared" si="24"/>
        <v>9.9486704545454554</v>
      </c>
      <c r="R299" s="10">
        <f t="shared" si="25"/>
        <v>781.63768045259474</v>
      </c>
      <c r="S299" s="10">
        <f t="shared" si="26"/>
        <v>697.26822520302835</v>
      </c>
      <c r="T299" s="7">
        <v>73.2</v>
      </c>
      <c r="U299" s="7">
        <v>67.099999999999994</v>
      </c>
      <c r="V299" s="12"/>
    </row>
    <row r="300" spans="1:22" x14ac:dyDescent="0.25">
      <c r="A300" s="4">
        <v>2023</v>
      </c>
      <c r="B300" s="3" t="s">
        <v>243</v>
      </c>
      <c r="C300" s="3" t="s">
        <v>244</v>
      </c>
      <c r="D300" s="3" t="s">
        <v>245</v>
      </c>
      <c r="E300" s="3" t="s">
        <v>246</v>
      </c>
      <c r="F300" s="3" t="s">
        <v>327</v>
      </c>
      <c r="G300" s="3">
        <v>609</v>
      </c>
      <c r="H300" s="3">
        <v>9</v>
      </c>
      <c r="I300" s="3">
        <v>6</v>
      </c>
      <c r="J300" s="3">
        <v>4</v>
      </c>
      <c r="K300" s="3">
        <v>6</v>
      </c>
      <c r="L300" s="6" t="s">
        <v>56</v>
      </c>
      <c r="M300" s="2" t="s">
        <v>53</v>
      </c>
      <c r="N300" s="3">
        <v>14.44</v>
      </c>
      <c r="O300" s="3">
        <v>16.600000000000001</v>
      </c>
      <c r="P300" s="3">
        <v>46.2</v>
      </c>
      <c r="Q300" s="9">
        <f t="shared" si="24"/>
        <v>13.685181818181817</v>
      </c>
      <c r="R300" s="10">
        <f t="shared" si="25"/>
        <v>1075.2043523613111</v>
      </c>
      <c r="S300" s="10">
        <f t="shared" si="26"/>
        <v>959.14750433658435</v>
      </c>
      <c r="T300" s="7">
        <v>73.3</v>
      </c>
      <c r="U300" s="7">
        <v>64</v>
      </c>
      <c r="V300" s="12"/>
    </row>
    <row r="301" spans="1:22" x14ac:dyDescent="0.25">
      <c r="A301" s="4">
        <v>2023</v>
      </c>
      <c r="B301" s="3" t="s">
        <v>243</v>
      </c>
      <c r="C301" s="3" t="s">
        <v>244</v>
      </c>
      <c r="D301" s="3" t="s">
        <v>245</v>
      </c>
      <c r="E301" s="3" t="s">
        <v>246</v>
      </c>
      <c r="F301" s="3" t="s">
        <v>328</v>
      </c>
      <c r="G301" s="3">
        <v>610</v>
      </c>
      <c r="H301" s="3">
        <v>10</v>
      </c>
      <c r="I301" s="3">
        <v>6</v>
      </c>
      <c r="J301" s="3">
        <v>4</v>
      </c>
      <c r="K301" s="3">
        <v>4</v>
      </c>
      <c r="L301" s="6" t="s">
        <v>56</v>
      </c>
      <c r="M301" s="6" t="s">
        <v>658</v>
      </c>
      <c r="N301" s="3">
        <v>13.7</v>
      </c>
      <c r="O301" s="3">
        <v>16.3</v>
      </c>
      <c r="P301" s="3">
        <v>46.3</v>
      </c>
      <c r="Q301" s="9">
        <f t="shared" si="24"/>
        <v>13.030568181818181</v>
      </c>
      <c r="R301" s="10">
        <f t="shared" si="25"/>
        <v>1023.7732906272145</v>
      </c>
      <c r="S301" s="10">
        <f t="shared" si="26"/>
        <v>913.2678774551423</v>
      </c>
      <c r="T301" s="7">
        <v>72.7</v>
      </c>
      <c r="U301" s="7">
        <v>63</v>
      </c>
      <c r="V301" s="12"/>
    </row>
    <row r="302" spans="1:22" x14ac:dyDescent="0.25">
      <c r="A302" s="4">
        <v>2023</v>
      </c>
      <c r="B302" s="3" t="s">
        <v>243</v>
      </c>
      <c r="C302" s="3" t="s">
        <v>244</v>
      </c>
      <c r="D302" s="3" t="s">
        <v>245</v>
      </c>
      <c r="E302" s="3" t="s">
        <v>246</v>
      </c>
      <c r="F302" s="3" t="s">
        <v>329</v>
      </c>
      <c r="G302" s="3">
        <v>611</v>
      </c>
      <c r="H302" s="3">
        <v>11</v>
      </c>
      <c r="I302" s="3">
        <v>6</v>
      </c>
      <c r="J302" s="3">
        <v>4</v>
      </c>
      <c r="K302" s="3">
        <v>20</v>
      </c>
      <c r="L302" s="6" t="s">
        <v>82</v>
      </c>
      <c r="M302" s="6" t="s">
        <v>658</v>
      </c>
      <c r="N302" s="3">
        <v>14.1</v>
      </c>
      <c r="O302" s="3">
        <v>19.2</v>
      </c>
      <c r="P302" s="3">
        <v>45.4</v>
      </c>
      <c r="Q302" s="9">
        <f t="shared" si="24"/>
        <v>12.946363636363637</v>
      </c>
      <c r="R302" s="10">
        <f t="shared" si="25"/>
        <v>1017.1575879669074</v>
      </c>
      <c r="S302" s="10">
        <f t="shared" si="26"/>
        <v>907.3662693727988</v>
      </c>
      <c r="T302" s="7">
        <v>72.900000000000006</v>
      </c>
      <c r="U302" s="7">
        <v>63.5</v>
      </c>
      <c r="V302" s="12"/>
    </row>
    <row r="303" spans="1:22" x14ac:dyDescent="0.25">
      <c r="A303" s="4">
        <v>2023</v>
      </c>
      <c r="B303" s="3" t="s">
        <v>243</v>
      </c>
      <c r="C303" s="3" t="s">
        <v>244</v>
      </c>
      <c r="D303" s="3" t="s">
        <v>245</v>
      </c>
      <c r="E303" s="3" t="s">
        <v>246</v>
      </c>
      <c r="F303" s="3" t="s">
        <v>330</v>
      </c>
      <c r="G303" s="3">
        <v>612</v>
      </c>
      <c r="H303" s="3">
        <v>12</v>
      </c>
      <c r="I303" s="3">
        <v>6</v>
      </c>
      <c r="J303" s="3">
        <v>4</v>
      </c>
      <c r="K303" s="3">
        <v>11</v>
      </c>
      <c r="L303" s="6" t="s">
        <v>27</v>
      </c>
      <c r="M303" s="2" t="s">
        <v>30</v>
      </c>
      <c r="N303" s="3">
        <v>12.33</v>
      </c>
      <c r="O303" s="3">
        <v>19.7</v>
      </c>
      <c r="P303" s="3">
        <v>45.1</v>
      </c>
      <c r="Q303" s="9">
        <f t="shared" si="24"/>
        <v>11.251125</v>
      </c>
      <c r="R303" s="10">
        <f t="shared" si="25"/>
        <v>883.96769072435836</v>
      </c>
      <c r="S303" s="10">
        <f t="shared" si="26"/>
        <v>788.55280171664435</v>
      </c>
      <c r="T303" s="7">
        <v>74.599999999999994</v>
      </c>
      <c r="U303" s="7">
        <v>67.5</v>
      </c>
      <c r="V303" s="12"/>
    </row>
    <row r="304" spans="1:22" x14ac:dyDescent="0.25">
      <c r="A304" s="4">
        <v>2023</v>
      </c>
      <c r="B304" s="3" t="s">
        <v>243</v>
      </c>
      <c r="C304" s="3" t="s">
        <v>244</v>
      </c>
      <c r="D304" s="3" t="s">
        <v>245</v>
      </c>
      <c r="E304" s="3" t="s">
        <v>246</v>
      </c>
      <c r="F304" s="3" t="s">
        <v>331</v>
      </c>
      <c r="G304" s="3">
        <v>613</v>
      </c>
      <c r="H304" s="3">
        <v>13</v>
      </c>
      <c r="I304" s="3">
        <v>6</v>
      </c>
      <c r="J304" s="3">
        <v>4</v>
      </c>
      <c r="K304" s="3">
        <v>7</v>
      </c>
      <c r="L304" s="6" t="s">
        <v>69</v>
      </c>
      <c r="M304" s="6" t="s">
        <v>658</v>
      </c>
      <c r="N304" s="3">
        <v>13.58</v>
      </c>
      <c r="O304" s="3">
        <v>14.6</v>
      </c>
      <c r="P304" s="3">
        <v>47.1</v>
      </c>
      <c r="Q304" s="9">
        <f t="shared" si="24"/>
        <v>13.178772727272728</v>
      </c>
      <c r="R304" s="10">
        <f t="shared" si="25"/>
        <v>1035.4172844323057</v>
      </c>
      <c r="S304" s="10">
        <f t="shared" si="26"/>
        <v>923.65502625540205</v>
      </c>
      <c r="T304" s="7">
        <v>71</v>
      </c>
      <c r="U304" s="7">
        <v>54.1</v>
      </c>
      <c r="V304" s="12"/>
    </row>
    <row r="305" spans="1:22" x14ac:dyDescent="0.25">
      <c r="A305" s="4">
        <v>2023</v>
      </c>
      <c r="B305" s="3" t="s">
        <v>243</v>
      </c>
      <c r="C305" s="3" t="s">
        <v>244</v>
      </c>
      <c r="D305" s="3" t="s">
        <v>245</v>
      </c>
      <c r="E305" s="3" t="s">
        <v>246</v>
      </c>
      <c r="F305" s="3" t="s">
        <v>332</v>
      </c>
      <c r="G305" s="3">
        <v>614</v>
      </c>
      <c r="H305" s="3">
        <v>14</v>
      </c>
      <c r="I305" s="3">
        <v>6</v>
      </c>
      <c r="J305" s="3">
        <v>4</v>
      </c>
      <c r="K305" s="3" t="s">
        <v>268</v>
      </c>
      <c r="L305" s="6" t="s">
        <v>269</v>
      </c>
      <c r="M305" s="6" t="s">
        <v>658</v>
      </c>
      <c r="N305" s="3">
        <v>6.56</v>
      </c>
      <c r="O305" s="3">
        <v>23.3</v>
      </c>
      <c r="P305" s="3">
        <v>43.9</v>
      </c>
      <c r="Q305" s="9">
        <f t="shared" si="24"/>
        <v>5.7176363636363634</v>
      </c>
      <c r="R305" s="10">
        <f t="shared" si="25"/>
        <v>449.21781713075393</v>
      </c>
      <c r="S305" s="10">
        <f t="shared" si="26"/>
        <v>400.7295424895218</v>
      </c>
      <c r="T305" s="7">
        <v>70.7</v>
      </c>
      <c r="U305" s="7">
        <v>58.6</v>
      </c>
      <c r="V305" s="12"/>
    </row>
    <row r="306" spans="1:22" x14ac:dyDescent="0.25">
      <c r="A306" s="12">
        <v>2024</v>
      </c>
      <c r="B306" s="12" t="s">
        <v>333</v>
      </c>
      <c r="C306" s="12" t="s">
        <v>118</v>
      </c>
      <c r="D306" s="12" t="s">
        <v>119</v>
      </c>
      <c r="E306" s="12" t="s">
        <v>120</v>
      </c>
      <c r="F306" s="12" t="s">
        <v>334</v>
      </c>
      <c r="G306" s="12">
        <v>101</v>
      </c>
      <c r="H306" s="12">
        <v>1</v>
      </c>
      <c r="I306" s="12">
        <v>1</v>
      </c>
      <c r="J306" s="12">
        <v>1</v>
      </c>
      <c r="K306" s="12">
        <v>19</v>
      </c>
      <c r="L306" s="13" t="s">
        <v>113</v>
      </c>
      <c r="M306" s="6" t="s">
        <v>658</v>
      </c>
      <c r="N306" s="12">
        <v>11.66</v>
      </c>
      <c r="O306" s="12">
        <v>17.3</v>
      </c>
      <c r="P306" s="12">
        <v>41.6</v>
      </c>
      <c r="Q306" s="26">
        <f t="shared" si="24"/>
        <v>10.957750000000001</v>
      </c>
      <c r="R306" s="12">
        <v>7174.32</v>
      </c>
      <c r="S306" s="12">
        <v>6399.93</v>
      </c>
      <c r="T306" s="12">
        <v>67.959999999999994</v>
      </c>
      <c r="U306" s="12">
        <v>53.13</v>
      </c>
      <c r="V306" s="12">
        <v>2</v>
      </c>
    </row>
    <row r="307" spans="1:22" x14ac:dyDescent="0.25">
      <c r="A307" s="12">
        <v>2024</v>
      </c>
      <c r="B307" s="12" t="s">
        <v>333</v>
      </c>
      <c r="C307" s="12" t="s">
        <v>118</v>
      </c>
      <c r="D307" s="12" t="s">
        <v>119</v>
      </c>
      <c r="E307" s="12" t="s">
        <v>120</v>
      </c>
      <c r="F307" s="12" t="s">
        <v>335</v>
      </c>
      <c r="G307" s="12">
        <v>102</v>
      </c>
      <c r="H307" s="12">
        <v>2</v>
      </c>
      <c r="I307" s="12">
        <v>1</v>
      </c>
      <c r="J307" s="12">
        <v>1</v>
      </c>
      <c r="K307" s="12">
        <v>13</v>
      </c>
      <c r="L307" s="13" t="s">
        <v>336</v>
      </c>
      <c r="M307" s="6" t="s">
        <v>658</v>
      </c>
      <c r="N307" s="12">
        <v>11.23</v>
      </c>
      <c r="O307" s="12">
        <v>15.3</v>
      </c>
      <c r="P307" s="12">
        <v>41.6</v>
      </c>
      <c r="Q307" s="26">
        <f t="shared" ref="Q307:Q370" si="27">N307*(1-O307/100)/(1-0.12)</f>
        <v>10.808875</v>
      </c>
      <c r="R307" s="12">
        <v>7076.85</v>
      </c>
      <c r="S307" s="12">
        <v>6312.98</v>
      </c>
      <c r="T307" s="12">
        <v>68</v>
      </c>
      <c r="U307" s="12">
        <v>47.68</v>
      </c>
      <c r="V307" s="12">
        <v>0</v>
      </c>
    </row>
    <row r="308" spans="1:22" x14ac:dyDescent="0.25">
      <c r="A308" s="12">
        <v>2024</v>
      </c>
      <c r="B308" s="12" t="s">
        <v>333</v>
      </c>
      <c r="C308" s="12" t="s">
        <v>118</v>
      </c>
      <c r="D308" s="12" t="s">
        <v>119</v>
      </c>
      <c r="E308" s="12" t="s">
        <v>120</v>
      </c>
      <c r="F308" s="12" t="s">
        <v>337</v>
      </c>
      <c r="G308" s="12">
        <v>103</v>
      </c>
      <c r="H308" s="12">
        <v>3</v>
      </c>
      <c r="I308" s="12">
        <v>1</v>
      </c>
      <c r="J308" s="12">
        <v>1</v>
      </c>
      <c r="K308" s="12">
        <v>14</v>
      </c>
      <c r="L308" s="13" t="s">
        <v>336</v>
      </c>
      <c r="M308" s="13" t="s">
        <v>30</v>
      </c>
      <c r="N308" s="12">
        <v>11.83</v>
      </c>
      <c r="O308" s="12">
        <v>14.8</v>
      </c>
      <c r="P308" s="12">
        <v>41.9</v>
      </c>
      <c r="Q308" s="26">
        <f t="shared" si="27"/>
        <v>11.453590909090909</v>
      </c>
      <c r="R308" s="12">
        <v>7498.96</v>
      </c>
      <c r="S308" s="12">
        <v>6689.52</v>
      </c>
      <c r="T308" s="12">
        <v>68.75</v>
      </c>
      <c r="U308" s="12">
        <v>49.31</v>
      </c>
      <c r="V308" s="12">
        <v>1</v>
      </c>
    </row>
    <row r="309" spans="1:22" x14ac:dyDescent="0.25">
      <c r="A309" s="12">
        <v>2024</v>
      </c>
      <c r="B309" s="12" t="s">
        <v>333</v>
      </c>
      <c r="C309" s="12" t="s">
        <v>118</v>
      </c>
      <c r="D309" s="12" t="s">
        <v>119</v>
      </c>
      <c r="E309" s="12" t="s">
        <v>120</v>
      </c>
      <c r="F309" s="12" t="s">
        <v>338</v>
      </c>
      <c r="G309" s="12">
        <v>104</v>
      </c>
      <c r="H309" s="12">
        <v>4</v>
      </c>
      <c r="I309" s="12">
        <v>1</v>
      </c>
      <c r="J309" s="12">
        <v>1</v>
      </c>
      <c r="K309" s="12">
        <v>6</v>
      </c>
      <c r="L309" s="13" t="s">
        <v>339</v>
      </c>
      <c r="M309" s="13" t="s">
        <v>53</v>
      </c>
      <c r="N309" s="12">
        <v>12.26</v>
      </c>
      <c r="O309" s="12">
        <v>22.6</v>
      </c>
      <c r="P309" s="12">
        <v>40.799999999999997</v>
      </c>
      <c r="Q309" s="26">
        <f t="shared" si="27"/>
        <v>10.783227272727274</v>
      </c>
      <c r="R309" s="12">
        <v>7060.05</v>
      </c>
      <c r="S309" s="12">
        <v>6298</v>
      </c>
      <c r="T309" s="12">
        <v>65.959999999999994</v>
      </c>
      <c r="U309" s="12">
        <v>59.03</v>
      </c>
      <c r="V309" s="12">
        <v>2</v>
      </c>
    </row>
    <row r="310" spans="1:22" x14ac:dyDescent="0.25">
      <c r="A310" s="12">
        <v>2024</v>
      </c>
      <c r="B310" s="12" t="s">
        <v>333</v>
      </c>
      <c r="C310" s="12" t="s">
        <v>118</v>
      </c>
      <c r="D310" s="12" t="s">
        <v>119</v>
      </c>
      <c r="E310" s="12" t="s">
        <v>120</v>
      </c>
      <c r="F310" s="12" t="s">
        <v>340</v>
      </c>
      <c r="G310" s="12">
        <v>105</v>
      </c>
      <c r="H310" s="12">
        <v>5</v>
      </c>
      <c r="I310" s="12">
        <v>1</v>
      </c>
      <c r="J310" s="12">
        <v>1</v>
      </c>
      <c r="K310" s="12">
        <v>9</v>
      </c>
      <c r="L310" s="13" t="s">
        <v>69</v>
      </c>
      <c r="M310" s="13" t="s">
        <v>53</v>
      </c>
      <c r="N310" s="12">
        <v>13.02</v>
      </c>
      <c r="O310" s="12">
        <v>15.8</v>
      </c>
      <c r="P310" s="12">
        <v>41.9</v>
      </c>
      <c r="Q310" s="26">
        <f t="shared" si="27"/>
        <v>12.457772727272728</v>
      </c>
      <c r="R310" s="12">
        <v>8156.42</v>
      </c>
      <c r="S310" s="12">
        <v>7276.02</v>
      </c>
      <c r="T310" s="12">
        <v>70.459999999999994</v>
      </c>
      <c r="U310" s="12">
        <v>56.62</v>
      </c>
      <c r="V310" s="12">
        <v>3</v>
      </c>
    </row>
    <row r="311" spans="1:22" x14ac:dyDescent="0.25">
      <c r="A311" s="12">
        <v>2024</v>
      </c>
      <c r="B311" s="12" t="s">
        <v>333</v>
      </c>
      <c r="C311" s="12" t="s">
        <v>118</v>
      </c>
      <c r="D311" s="12" t="s">
        <v>119</v>
      </c>
      <c r="E311" s="12" t="s">
        <v>120</v>
      </c>
      <c r="F311" s="12" t="s">
        <v>341</v>
      </c>
      <c r="G311" s="12">
        <v>106</v>
      </c>
      <c r="H311" s="12">
        <v>6</v>
      </c>
      <c r="I311" s="12">
        <v>1</v>
      </c>
      <c r="J311" s="12">
        <v>2</v>
      </c>
      <c r="K311" s="12">
        <v>12</v>
      </c>
      <c r="L311" s="13" t="s">
        <v>27</v>
      </c>
      <c r="M311" s="13" t="s">
        <v>53</v>
      </c>
      <c r="N311" s="12">
        <v>12.43</v>
      </c>
      <c r="O311" s="12">
        <v>16.5</v>
      </c>
      <c r="P311" s="12">
        <v>41.8</v>
      </c>
      <c r="Q311" s="26">
        <f t="shared" si="27"/>
        <v>11.794374999999999</v>
      </c>
      <c r="R311" s="12">
        <v>7722.08</v>
      </c>
      <c r="S311" s="12">
        <v>6888.56</v>
      </c>
      <c r="T311" s="12">
        <v>71.69</v>
      </c>
      <c r="U311" s="12">
        <v>59.12</v>
      </c>
      <c r="V311" s="12">
        <v>1</v>
      </c>
    </row>
    <row r="312" spans="1:22" x14ac:dyDescent="0.25">
      <c r="A312" s="12">
        <v>2024</v>
      </c>
      <c r="B312" s="12" t="s">
        <v>333</v>
      </c>
      <c r="C312" s="12" t="s">
        <v>118</v>
      </c>
      <c r="D312" s="12" t="s">
        <v>119</v>
      </c>
      <c r="E312" s="12" t="s">
        <v>120</v>
      </c>
      <c r="F312" s="12" t="s">
        <v>342</v>
      </c>
      <c r="G312" s="12">
        <v>107</v>
      </c>
      <c r="H312" s="12">
        <v>7</v>
      </c>
      <c r="I312" s="12">
        <v>1</v>
      </c>
      <c r="J312" s="12">
        <v>2</v>
      </c>
      <c r="K312" s="12">
        <v>10</v>
      </c>
      <c r="L312" s="13" t="s">
        <v>27</v>
      </c>
      <c r="M312" s="6" t="s">
        <v>658</v>
      </c>
      <c r="N312" s="12">
        <v>10.94</v>
      </c>
      <c r="O312" s="12">
        <v>16</v>
      </c>
      <c r="P312" s="12">
        <v>41.9</v>
      </c>
      <c r="Q312" s="26">
        <f t="shared" si="27"/>
        <v>10.442727272727272</v>
      </c>
      <c r="R312" s="12">
        <v>6837.12</v>
      </c>
      <c r="S312" s="12">
        <v>6099.12</v>
      </c>
      <c r="T312" s="12">
        <v>71.680000000000007</v>
      </c>
      <c r="U312" s="12">
        <v>58.48</v>
      </c>
      <c r="V312" s="12">
        <v>2</v>
      </c>
    </row>
    <row r="313" spans="1:22" x14ac:dyDescent="0.25">
      <c r="A313" s="12">
        <v>2024</v>
      </c>
      <c r="B313" s="12" t="s">
        <v>333</v>
      </c>
      <c r="C313" s="12" t="s">
        <v>118</v>
      </c>
      <c r="D313" s="12" t="s">
        <v>119</v>
      </c>
      <c r="E313" s="12" t="s">
        <v>120</v>
      </c>
      <c r="F313" s="12" t="s">
        <v>343</v>
      </c>
      <c r="G313" s="12">
        <v>108</v>
      </c>
      <c r="H313" s="12">
        <v>8</v>
      </c>
      <c r="I313" s="12">
        <v>1</v>
      </c>
      <c r="J313" s="12">
        <v>2</v>
      </c>
      <c r="K313" s="12">
        <v>13</v>
      </c>
      <c r="L313" s="13" t="s">
        <v>336</v>
      </c>
      <c r="M313" s="6" t="s">
        <v>658</v>
      </c>
      <c r="N313" s="12">
        <v>10.28</v>
      </c>
      <c r="O313" s="12">
        <v>13.7</v>
      </c>
      <c r="P313" s="12">
        <v>42.3</v>
      </c>
      <c r="Q313" s="26">
        <f t="shared" si="27"/>
        <v>10.081409090909091</v>
      </c>
      <c r="R313" s="12">
        <v>6600.55</v>
      </c>
      <c r="S313" s="12">
        <v>5888.1</v>
      </c>
      <c r="T313" s="12">
        <v>68.08</v>
      </c>
      <c r="U313" s="12">
        <v>47.9</v>
      </c>
      <c r="V313" s="12">
        <v>1</v>
      </c>
    </row>
    <row r="314" spans="1:22" x14ac:dyDescent="0.25">
      <c r="A314" s="12">
        <v>2024</v>
      </c>
      <c r="B314" s="12" t="s">
        <v>333</v>
      </c>
      <c r="C314" s="12" t="s">
        <v>118</v>
      </c>
      <c r="D314" s="12" t="s">
        <v>119</v>
      </c>
      <c r="E314" s="12" t="s">
        <v>120</v>
      </c>
      <c r="F314" s="12" t="s">
        <v>344</v>
      </c>
      <c r="G314" s="12">
        <v>109</v>
      </c>
      <c r="H314" s="12">
        <v>9</v>
      </c>
      <c r="I314" s="12">
        <v>1</v>
      </c>
      <c r="J314" s="12">
        <v>2</v>
      </c>
      <c r="K314" s="12">
        <v>1</v>
      </c>
      <c r="L314" s="13" t="s">
        <v>100</v>
      </c>
      <c r="M314" s="6" t="s">
        <v>658</v>
      </c>
      <c r="N314" s="12">
        <v>11.27</v>
      </c>
      <c r="O314" s="12">
        <v>14.3</v>
      </c>
      <c r="P314" s="12">
        <v>42.3</v>
      </c>
      <c r="Q314" s="26">
        <f t="shared" si="27"/>
        <v>10.97544318181818</v>
      </c>
      <c r="R314" s="12">
        <v>7185.9</v>
      </c>
      <c r="S314" s="12">
        <v>6410.26</v>
      </c>
      <c r="T314" s="12">
        <v>66.989999999999995</v>
      </c>
      <c r="U314" s="12">
        <v>44.39</v>
      </c>
      <c r="V314" s="12">
        <v>1</v>
      </c>
    </row>
    <row r="315" spans="1:22" x14ac:dyDescent="0.25">
      <c r="A315" s="12">
        <v>2024</v>
      </c>
      <c r="B315" s="12" t="s">
        <v>333</v>
      </c>
      <c r="C315" s="12" t="s">
        <v>118</v>
      </c>
      <c r="D315" s="12" t="s">
        <v>119</v>
      </c>
      <c r="E315" s="12" t="s">
        <v>120</v>
      </c>
      <c r="F315" s="12" t="s">
        <v>345</v>
      </c>
      <c r="G315" s="12">
        <v>110</v>
      </c>
      <c r="H315" s="12">
        <v>10</v>
      </c>
      <c r="I315" s="12">
        <v>1</v>
      </c>
      <c r="J315" s="12">
        <v>2</v>
      </c>
      <c r="K315" s="12">
        <v>17</v>
      </c>
      <c r="L315" s="13" t="s">
        <v>42</v>
      </c>
      <c r="M315" s="13" t="s">
        <v>30</v>
      </c>
      <c r="N315" s="12">
        <v>12.27</v>
      </c>
      <c r="O315" s="12">
        <v>14.8</v>
      </c>
      <c r="P315" s="12">
        <v>42.3</v>
      </c>
      <c r="Q315" s="26">
        <f t="shared" si="27"/>
        <v>11.879590909090908</v>
      </c>
      <c r="R315" s="12">
        <v>7777.87</v>
      </c>
      <c r="S315" s="12">
        <v>6938.33</v>
      </c>
      <c r="T315" s="12">
        <v>70.739999999999995</v>
      </c>
      <c r="U315" s="12">
        <v>61.13</v>
      </c>
      <c r="V315" s="12">
        <v>1</v>
      </c>
    </row>
    <row r="316" spans="1:22" x14ac:dyDescent="0.25">
      <c r="A316" s="12">
        <v>2024</v>
      </c>
      <c r="B316" s="12" t="s">
        <v>333</v>
      </c>
      <c r="C316" s="12" t="s">
        <v>118</v>
      </c>
      <c r="D316" s="12" t="s">
        <v>119</v>
      </c>
      <c r="E316" s="12" t="s">
        <v>120</v>
      </c>
      <c r="F316" s="12" t="s">
        <v>346</v>
      </c>
      <c r="G316" s="12">
        <v>111</v>
      </c>
      <c r="H316" s="12">
        <v>11</v>
      </c>
      <c r="I316" s="12">
        <v>1</v>
      </c>
      <c r="J316" s="12">
        <v>3</v>
      </c>
      <c r="K316" s="12">
        <v>5</v>
      </c>
      <c r="L316" s="13" t="s">
        <v>339</v>
      </c>
      <c r="M316" s="13" t="s">
        <v>30</v>
      </c>
      <c r="N316" s="12">
        <v>10.4</v>
      </c>
      <c r="O316" s="12">
        <v>21</v>
      </c>
      <c r="P316" s="12">
        <v>41.4</v>
      </c>
      <c r="Q316" s="26">
        <f t="shared" si="27"/>
        <v>9.3363636363636378</v>
      </c>
      <c r="R316" s="12">
        <v>6112.75</v>
      </c>
      <c r="S316" s="12">
        <v>5452.95</v>
      </c>
      <c r="T316" s="12">
        <v>67.89</v>
      </c>
      <c r="U316" s="12">
        <v>61.38</v>
      </c>
      <c r="V316" s="12">
        <v>1</v>
      </c>
    </row>
    <row r="317" spans="1:22" x14ac:dyDescent="0.25">
      <c r="A317" s="12">
        <v>2024</v>
      </c>
      <c r="B317" s="12" t="s">
        <v>333</v>
      </c>
      <c r="C317" s="12" t="s">
        <v>118</v>
      </c>
      <c r="D317" s="12" t="s">
        <v>119</v>
      </c>
      <c r="E317" s="12" t="s">
        <v>120</v>
      </c>
      <c r="F317" s="12" t="s">
        <v>347</v>
      </c>
      <c r="G317" s="12">
        <v>112</v>
      </c>
      <c r="H317" s="12">
        <v>12</v>
      </c>
      <c r="I317" s="12">
        <v>1</v>
      </c>
      <c r="J317" s="12">
        <v>3</v>
      </c>
      <c r="K317" s="12">
        <v>2</v>
      </c>
      <c r="L317" s="13" t="s">
        <v>100</v>
      </c>
      <c r="M317" s="13" t="s">
        <v>30</v>
      </c>
      <c r="N317" s="12">
        <v>12.16</v>
      </c>
      <c r="O317" s="12">
        <v>13.3</v>
      </c>
      <c r="P317" s="12">
        <v>42.9</v>
      </c>
      <c r="Q317" s="26">
        <f t="shared" si="27"/>
        <v>11.980363636363636</v>
      </c>
      <c r="R317" s="12">
        <v>7843.85</v>
      </c>
      <c r="S317" s="12">
        <v>6997.19</v>
      </c>
      <c r="T317" s="12">
        <v>69.319999999999993</v>
      </c>
      <c r="U317" s="12">
        <v>47.85</v>
      </c>
      <c r="V317" s="12">
        <v>1</v>
      </c>
    </row>
    <row r="318" spans="1:22" x14ac:dyDescent="0.25">
      <c r="A318" s="12">
        <v>2024</v>
      </c>
      <c r="B318" s="12" t="s">
        <v>333</v>
      </c>
      <c r="C318" s="12" t="s">
        <v>118</v>
      </c>
      <c r="D318" s="12" t="s">
        <v>119</v>
      </c>
      <c r="E318" s="12" t="s">
        <v>120</v>
      </c>
      <c r="F318" s="12" t="s">
        <v>348</v>
      </c>
      <c r="G318" s="12">
        <v>113</v>
      </c>
      <c r="H318" s="12">
        <v>13</v>
      </c>
      <c r="I318" s="12">
        <v>1</v>
      </c>
      <c r="J318" s="12">
        <v>3</v>
      </c>
      <c r="K318" s="12">
        <v>19</v>
      </c>
      <c r="L318" s="13" t="s">
        <v>113</v>
      </c>
      <c r="M318" s="6" t="s">
        <v>658</v>
      </c>
      <c r="N318" s="12">
        <v>11.15</v>
      </c>
      <c r="O318" s="12">
        <v>16.3</v>
      </c>
      <c r="P318" s="12">
        <v>42</v>
      </c>
      <c r="Q318" s="26">
        <f t="shared" si="27"/>
        <v>10.605170454545453</v>
      </c>
      <c r="R318" s="12">
        <v>6943.47</v>
      </c>
      <c r="S318" s="12">
        <v>6194</v>
      </c>
      <c r="T318" s="12">
        <v>68.930000000000007</v>
      </c>
      <c r="U318" s="12">
        <v>57.73</v>
      </c>
      <c r="V318" s="12">
        <v>0</v>
      </c>
    </row>
    <row r="319" spans="1:22" x14ac:dyDescent="0.25">
      <c r="A319" s="12">
        <v>2024</v>
      </c>
      <c r="B319" s="12" t="s">
        <v>333</v>
      </c>
      <c r="C319" s="12" t="s">
        <v>118</v>
      </c>
      <c r="D319" s="12" t="s">
        <v>119</v>
      </c>
      <c r="E319" s="12" t="s">
        <v>120</v>
      </c>
      <c r="F319" s="12" t="s">
        <v>349</v>
      </c>
      <c r="G319" s="12">
        <v>114</v>
      </c>
      <c r="H319" s="12">
        <v>14</v>
      </c>
      <c r="I319" s="12">
        <v>1</v>
      </c>
      <c r="J319" s="12">
        <v>3</v>
      </c>
      <c r="K319" s="12">
        <v>1</v>
      </c>
      <c r="L319" s="13" t="s">
        <v>100</v>
      </c>
      <c r="M319" s="6" t="s">
        <v>658</v>
      </c>
      <c r="N319" s="12">
        <v>10.57</v>
      </c>
      <c r="O319" s="12">
        <v>14.1</v>
      </c>
      <c r="P319" s="12">
        <v>42.5</v>
      </c>
      <c r="Q319" s="26">
        <f t="shared" si="27"/>
        <v>10.317761363636363</v>
      </c>
      <c r="R319" s="12">
        <v>6755.3</v>
      </c>
      <c r="S319" s="12">
        <v>6026.14</v>
      </c>
      <c r="T319" s="12">
        <v>67.349999999999994</v>
      </c>
      <c r="U319" s="12">
        <v>46.1</v>
      </c>
      <c r="V319" s="12">
        <v>1</v>
      </c>
    </row>
    <row r="320" spans="1:22" x14ac:dyDescent="0.25">
      <c r="A320" s="12">
        <v>2024</v>
      </c>
      <c r="B320" s="12" t="s">
        <v>333</v>
      </c>
      <c r="C320" s="12" t="s">
        <v>118</v>
      </c>
      <c r="D320" s="12" t="s">
        <v>119</v>
      </c>
      <c r="E320" s="12" t="s">
        <v>120</v>
      </c>
      <c r="F320" s="12" t="s">
        <v>350</v>
      </c>
      <c r="G320" s="12">
        <v>115</v>
      </c>
      <c r="H320" s="12">
        <v>15</v>
      </c>
      <c r="I320" s="12">
        <v>1</v>
      </c>
      <c r="J320" s="12">
        <v>3</v>
      </c>
      <c r="K320" s="12">
        <v>6</v>
      </c>
      <c r="L320" s="13" t="s">
        <v>339</v>
      </c>
      <c r="M320" s="13" t="s">
        <v>53</v>
      </c>
      <c r="N320" s="12">
        <v>10.44</v>
      </c>
      <c r="O320" s="12">
        <v>19.399999999999999</v>
      </c>
      <c r="P320" s="12">
        <v>41.4</v>
      </c>
      <c r="Q320" s="26">
        <f t="shared" si="27"/>
        <v>9.5620909090909088</v>
      </c>
      <c r="R320" s="12">
        <v>6260.54</v>
      </c>
      <c r="S320" s="12">
        <v>5584.78</v>
      </c>
      <c r="T320" s="12">
        <v>68.55</v>
      </c>
      <c r="U320" s="12">
        <v>61.74</v>
      </c>
      <c r="V320" s="12">
        <v>2</v>
      </c>
    </row>
    <row r="321" spans="1:22" x14ac:dyDescent="0.25">
      <c r="A321" s="12">
        <v>2024</v>
      </c>
      <c r="B321" s="12" t="s">
        <v>333</v>
      </c>
      <c r="C321" s="12" t="s">
        <v>118</v>
      </c>
      <c r="D321" s="12" t="s">
        <v>119</v>
      </c>
      <c r="E321" s="12" t="s">
        <v>120</v>
      </c>
      <c r="F321" s="12" t="s">
        <v>351</v>
      </c>
      <c r="G321" s="12">
        <v>201</v>
      </c>
      <c r="H321" s="12">
        <v>1</v>
      </c>
      <c r="I321" s="12">
        <v>2</v>
      </c>
      <c r="J321" s="12">
        <v>1</v>
      </c>
      <c r="K321" s="12">
        <v>18</v>
      </c>
      <c r="L321" s="13" t="s">
        <v>42</v>
      </c>
      <c r="M321" s="13" t="s">
        <v>53</v>
      </c>
      <c r="N321" s="12">
        <v>10.88</v>
      </c>
      <c r="O321" s="12">
        <v>15.4</v>
      </c>
      <c r="P321" s="12">
        <v>41.8</v>
      </c>
      <c r="Q321" s="26">
        <f t="shared" si="27"/>
        <v>10.459636363636363</v>
      </c>
      <c r="R321" s="12">
        <v>6848.19</v>
      </c>
      <c r="S321" s="12">
        <v>6109</v>
      </c>
      <c r="T321" s="12">
        <v>69.02</v>
      </c>
      <c r="U321" s="12">
        <v>56.51</v>
      </c>
      <c r="V321" s="12">
        <v>1</v>
      </c>
    </row>
    <row r="322" spans="1:22" x14ac:dyDescent="0.25">
      <c r="A322" s="12">
        <v>2024</v>
      </c>
      <c r="B322" s="12" t="s">
        <v>333</v>
      </c>
      <c r="C322" s="12" t="s">
        <v>118</v>
      </c>
      <c r="D322" s="12" t="s">
        <v>119</v>
      </c>
      <c r="E322" s="12" t="s">
        <v>120</v>
      </c>
      <c r="F322" s="12" t="s">
        <v>352</v>
      </c>
      <c r="G322" s="12">
        <v>202</v>
      </c>
      <c r="H322" s="12">
        <v>2</v>
      </c>
      <c r="I322" s="12">
        <v>2</v>
      </c>
      <c r="J322" s="12">
        <v>1</v>
      </c>
      <c r="K322" s="12">
        <v>7</v>
      </c>
      <c r="L322" s="13" t="s">
        <v>69</v>
      </c>
      <c r="M322" s="6" t="s">
        <v>658</v>
      </c>
      <c r="N322" s="12">
        <v>12.13</v>
      </c>
      <c r="O322" s="12">
        <v>14.8</v>
      </c>
      <c r="P322" s="12">
        <v>42.1</v>
      </c>
      <c r="Q322" s="26">
        <f t="shared" si="27"/>
        <v>11.744045454545455</v>
      </c>
      <c r="R322" s="12">
        <v>7689.12</v>
      </c>
      <c r="S322" s="12">
        <v>6859.17</v>
      </c>
      <c r="T322" s="12">
        <v>69.3</v>
      </c>
      <c r="U322" s="12">
        <v>51.78</v>
      </c>
      <c r="V322" s="12">
        <v>1</v>
      </c>
    </row>
    <row r="323" spans="1:22" x14ac:dyDescent="0.25">
      <c r="A323" s="12">
        <v>2024</v>
      </c>
      <c r="B323" s="12" t="s">
        <v>333</v>
      </c>
      <c r="C323" s="12" t="s">
        <v>118</v>
      </c>
      <c r="D323" s="12" t="s">
        <v>119</v>
      </c>
      <c r="E323" s="12" t="s">
        <v>120</v>
      </c>
      <c r="F323" s="12" t="s">
        <v>353</v>
      </c>
      <c r="G323" s="12">
        <v>203</v>
      </c>
      <c r="H323" s="12">
        <v>3</v>
      </c>
      <c r="I323" s="12">
        <v>2</v>
      </c>
      <c r="J323" s="12">
        <v>1</v>
      </c>
      <c r="K323" s="12">
        <v>17</v>
      </c>
      <c r="L323" s="13" t="s">
        <v>42</v>
      </c>
      <c r="M323" s="13" t="s">
        <v>30</v>
      </c>
      <c r="N323" s="12">
        <v>11.94</v>
      </c>
      <c r="O323" s="12">
        <v>15.8</v>
      </c>
      <c r="P323" s="12">
        <v>41.8</v>
      </c>
      <c r="Q323" s="26">
        <f t="shared" si="27"/>
        <v>11.424409090909089</v>
      </c>
      <c r="R323" s="12">
        <v>7479.85</v>
      </c>
      <c r="S323" s="12">
        <v>6672.48</v>
      </c>
      <c r="T323" s="12">
        <v>69.349999999999994</v>
      </c>
      <c r="U323" s="12">
        <v>57.13</v>
      </c>
      <c r="V323" s="12">
        <v>1</v>
      </c>
    </row>
    <row r="324" spans="1:22" x14ac:dyDescent="0.25">
      <c r="A324" s="12">
        <v>2024</v>
      </c>
      <c r="B324" s="12" t="s">
        <v>333</v>
      </c>
      <c r="C324" s="12" t="s">
        <v>118</v>
      </c>
      <c r="D324" s="12" t="s">
        <v>119</v>
      </c>
      <c r="E324" s="12" t="s">
        <v>120</v>
      </c>
      <c r="F324" s="12" t="s">
        <v>354</v>
      </c>
      <c r="G324" s="12">
        <v>204</v>
      </c>
      <c r="H324" s="12">
        <v>4</v>
      </c>
      <c r="I324" s="12">
        <v>2</v>
      </c>
      <c r="J324" s="12">
        <v>1</v>
      </c>
      <c r="K324" s="12">
        <v>8</v>
      </c>
      <c r="L324" s="13" t="s">
        <v>69</v>
      </c>
      <c r="M324" s="13" t="s">
        <v>30</v>
      </c>
      <c r="N324" s="12">
        <v>12.6</v>
      </c>
      <c r="O324" s="12">
        <v>14.3</v>
      </c>
      <c r="P324" s="12">
        <v>42.5</v>
      </c>
      <c r="Q324" s="26">
        <f t="shared" si="27"/>
        <v>12.270681818181817</v>
      </c>
      <c r="R324" s="12">
        <v>8033.93</v>
      </c>
      <c r="S324" s="12">
        <v>7166.75</v>
      </c>
      <c r="T324" s="12">
        <v>70.709999999999994</v>
      </c>
      <c r="U324" s="12">
        <v>55.85</v>
      </c>
      <c r="V324" s="12">
        <v>1</v>
      </c>
    </row>
    <row r="325" spans="1:22" x14ac:dyDescent="0.25">
      <c r="A325" s="12">
        <v>2024</v>
      </c>
      <c r="B325" s="12" t="s">
        <v>333</v>
      </c>
      <c r="C325" s="12" t="s">
        <v>118</v>
      </c>
      <c r="D325" s="12" t="s">
        <v>119</v>
      </c>
      <c r="E325" s="12" t="s">
        <v>120</v>
      </c>
      <c r="F325" s="12" t="s">
        <v>355</v>
      </c>
      <c r="G325" s="12">
        <v>205</v>
      </c>
      <c r="H325" s="12">
        <v>5</v>
      </c>
      <c r="I325" s="12">
        <v>2</v>
      </c>
      <c r="J325" s="12">
        <v>1</v>
      </c>
      <c r="K325" s="12">
        <v>15</v>
      </c>
      <c r="L325" s="13" t="s">
        <v>336</v>
      </c>
      <c r="M325" s="13" t="s">
        <v>53</v>
      </c>
      <c r="N325" s="12">
        <v>11.19</v>
      </c>
      <c r="O325" s="12">
        <v>15.4</v>
      </c>
      <c r="P325" s="12">
        <v>41.7</v>
      </c>
      <c r="Q325" s="26">
        <f t="shared" si="27"/>
        <v>10.75765909090909</v>
      </c>
      <c r="R325" s="12">
        <v>7043.31</v>
      </c>
      <c r="S325" s="12">
        <v>6283.06</v>
      </c>
      <c r="T325" s="12">
        <v>69.11</v>
      </c>
      <c r="U325" s="12">
        <v>47.5</v>
      </c>
      <c r="V325" s="12">
        <v>0</v>
      </c>
    </row>
    <row r="326" spans="1:22" x14ac:dyDescent="0.25">
      <c r="A326" s="12">
        <v>2024</v>
      </c>
      <c r="B326" s="12" t="s">
        <v>333</v>
      </c>
      <c r="C326" s="12" t="s">
        <v>118</v>
      </c>
      <c r="D326" s="12" t="s">
        <v>119</v>
      </c>
      <c r="E326" s="12" t="s">
        <v>120</v>
      </c>
      <c r="F326" s="12" t="s">
        <v>356</v>
      </c>
      <c r="G326" s="12">
        <v>206</v>
      </c>
      <c r="H326" s="12">
        <v>6</v>
      </c>
      <c r="I326" s="12">
        <v>2</v>
      </c>
      <c r="J326" s="12">
        <v>2</v>
      </c>
      <c r="K326" s="12">
        <v>15</v>
      </c>
      <c r="L326" s="13" t="s">
        <v>336</v>
      </c>
      <c r="M326" s="13" t="s">
        <v>53</v>
      </c>
      <c r="N326" s="12">
        <v>10.36</v>
      </c>
      <c r="O326" s="12">
        <v>13.6</v>
      </c>
      <c r="P326" s="12">
        <v>42.4</v>
      </c>
      <c r="Q326" s="26">
        <f t="shared" si="27"/>
        <v>10.171636363636363</v>
      </c>
      <c r="R326" s="12">
        <v>6659.63</v>
      </c>
      <c r="S326" s="12">
        <v>5940.79</v>
      </c>
      <c r="T326" s="12">
        <v>69.62</v>
      </c>
      <c r="U326" s="12">
        <v>47.79</v>
      </c>
      <c r="V326" s="12">
        <v>0</v>
      </c>
    </row>
    <row r="327" spans="1:22" x14ac:dyDescent="0.25">
      <c r="A327" s="12">
        <v>2024</v>
      </c>
      <c r="B327" s="12" t="s">
        <v>333</v>
      </c>
      <c r="C327" s="12" t="s">
        <v>118</v>
      </c>
      <c r="D327" s="12" t="s">
        <v>119</v>
      </c>
      <c r="E327" s="12" t="s">
        <v>120</v>
      </c>
      <c r="F327" s="12" t="s">
        <v>357</v>
      </c>
      <c r="G327" s="12">
        <v>207</v>
      </c>
      <c r="H327" s="12">
        <v>7</v>
      </c>
      <c r="I327" s="12">
        <v>2</v>
      </c>
      <c r="J327" s="12">
        <v>2</v>
      </c>
      <c r="K327" s="12">
        <v>2</v>
      </c>
      <c r="L327" s="13" t="s">
        <v>100</v>
      </c>
      <c r="M327" s="13" t="s">
        <v>30</v>
      </c>
      <c r="N327" s="12">
        <v>10.35</v>
      </c>
      <c r="O327" s="12">
        <v>13.8</v>
      </c>
      <c r="P327" s="12">
        <v>42.5</v>
      </c>
      <c r="Q327" s="26">
        <f t="shared" si="27"/>
        <v>10.138295454545453</v>
      </c>
      <c r="R327" s="12">
        <v>6637.8</v>
      </c>
      <c r="S327" s="12">
        <v>5921.32</v>
      </c>
      <c r="T327" s="12">
        <v>67.02</v>
      </c>
      <c r="U327" s="12">
        <v>44.58</v>
      </c>
      <c r="V327" s="12">
        <v>1</v>
      </c>
    </row>
    <row r="328" spans="1:22" x14ac:dyDescent="0.25">
      <c r="A328" s="12">
        <v>2024</v>
      </c>
      <c r="B328" s="12" t="s">
        <v>333</v>
      </c>
      <c r="C328" s="12" t="s">
        <v>118</v>
      </c>
      <c r="D328" s="12" t="s">
        <v>119</v>
      </c>
      <c r="E328" s="12" t="s">
        <v>120</v>
      </c>
      <c r="F328" s="12" t="s">
        <v>358</v>
      </c>
      <c r="G328" s="12">
        <v>208</v>
      </c>
      <c r="H328" s="12">
        <v>8</v>
      </c>
      <c r="I328" s="12">
        <v>2</v>
      </c>
      <c r="J328" s="12">
        <v>2</v>
      </c>
      <c r="K328" s="12">
        <v>11</v>
      </c>
      <c r="L328" s="13" t="s">
        <v>27</v>
      </c>
      <c r="M328" s="13" t="s">
        <v>30</v>
      </c>
      <c r="N328" s="12">
        <v>10.88</v>
      </c>
      <c r="O328" s="12">
        <v>16.8</v>
      </c>
      <c r="P328" s="12">
        <v>41.6</v>
      </c>
      <c r="Q328" s="26">
        <f t="shared" si="27"/>
        <v>10.286545454545456</v>
      </c>
      <c r="R328" s="12">
        <v>6734.86</v>
      </c>
      <c r="S328" s="12">
        <v>6007.91</v>
      </c>
      <c r="T328" s="12">
        <v>72.27</v>
      </c>
      <c r="U328" s="12">
        <v>60.04</v>
      </c>
      <c r="V328" s="12">
        <v>1</v>
      </c>
    </row>
    <row r="329" spans="1:22" x14ac:dyDescent="0.25">
      <c r="A329" s="12">
        <v>2024</v>
      </c>
      <c r="B329" s="12" t="s">
        <v>333</v>
      </c>
      <c r="C329" s="12" t="s">
        <v>118</v>
      </c>
      <c r="D329" s="12" t="s">
        <v>119</v>
      </c>
      <c r="E329" s="12" t="s">
        <v>120</v>
      </c>
      <c r="F329" s="12" t="s">
        <v>359</v>
      </c>
      <c r="G329" s="12">
        <v>209</v>
      </c>
      <c r="H329" s="12">
        <v>9</v>
      </c>
      <c r="I329" s="12">
        <v>2</v>
      </c>
      <c r="J329" s="12">
        <v>2</v>
      </c>
      <c r="K329" s="12">
        <v>5</v>
      </c>
      <c r="L329" s="13" t="s">
        <v>339</v>
      </c>
      <c r="M329" s="13" t="s">
        <v>30</v>
      </c>
      <c r="N329" s="12">
        <v>10.98</v>
      </c>
      <c r="O329" s="12">
        <v>20.5</v>
      </c>
      <c r="P329" s="12">
        <v>41.2</v>
      </c>
      <c r="Q329" s="26">
        <f t="shared" si="27"/>
        <v>9.9194318181818186</v>
      </c>
      <c r="R329" s="12">
        <v>6494.5</v>
      </c>
      <c r="S329" s="12">
        <v>5793.49</v>
      </c>
      <c r="T329" s="12">
        <v>66.94</v>
      </c>
      <c r="U329" s="12">
        <v>59.42</v>
      </c>
      <c r="V329" s="12">
        <v>1</v>
      </c>
    </row>
    <row r="330" spans="1:22" x14ac:dyDescent="0.25">
      <c r="A330" s="12">
        <v>2024</v>
      </c>
      <c r="B330" s="12" t="s">
        <v>333</v>
      </c>
      <c r="C330" s="12" t="s">
        <v>118</v>
      </c>
      <c r="D330" s="12" t="s">
        <v>119</v>
      </c>
      <c r="E330" s="12" t="s">
        <v>120</v>
      </c>
      <c r="F330" s="12" t="s">
        <v>360</v>
      </c>
      <c r="G330" s="12">
        <v>210</v>
      </c>
      <c r="H330" s="12">
        <v>10</v>
      </c>
      <c r="I330" s="12">
        <v>2</v>
      </c>
      <c r="J330" s="12">
        <v>2</v>
      </c>
      <c r="K330" s="12">
        <v>18</v>
      </c>
      <c r="L330" s="13" t="s">
        <v>42</v>
      </c>
      <c r="M330" s="13" t="s">
        <v>53</v>
      </c>
      <c r="N330" s="12">
        <v>11.43</v>
      </c>
      <c r="O330" s="12">
        <v>14.4</v>
      </c>
      <c r="P330" s="12">
        <v>42.4</v>
      </c>
      <c r="Q330" s="26">
        <f t="shared" si="27"/>
        <v>11.118272727272727</v>
      </c>
      <c r="R330" s="12">
        <v>7279.42</v>
      </c>
      <c r="S330" s="12">
        <v>6493.68</v>
      </c>
      <c r="T330" s="12">
        <v>69.89</v>
      </c>
      <c r="U330" s="12">
        <v>58.97</v>
      </c>
      <c r="V330" s="12">
        <v>0</v>
      </c>
    </row>
    <row r="331" spans="1:22" x14ac:dyDescent="0.25">
      <c r="A331" s="12">
        <v>2024</v>
      </c>
      <c r="B331" s="12" t="s">
        <v>333</v>
      </c>
      <c r="C331" s="12" t="s">
        <v>118</v>
      </c>
      <c r="D331" s="12" t="s">
        <v>119</v>
      </c>
      <c r="E331" s="12" t="s">
        <v>120</v>
      </c>
      <c r="F331" s="12" t="s">
        <v>361</v>
      </c>
      <c r="G331" s="12">
        <v>211</v>
      </c>
      <c r="H331" s="12">
        <v>11</v>
      </c>
      <c r="I331" s="12">
        <v>2</v>
      </c>
      <c r="J331" s="12">
        <v>3</v>
      </c>
      <c r="K331" s="12">
        <v>9</v>
      </c>
      <c r="L331" s="13" t="s">
        <v>69</v>
      </c>
      <c r="M331" s="13" t="s">
        <v>53</v>
      </c>
      <c r="N331" s="12">
        <v>10.83</v>
      </c>
      <c r="O331" s="12">
        <v>12.9</v>
      </c>
      <c r="P331" s="12">
        <v>43</v>
      </c>
      <c r="Q331" s="26">
        <f t="shared" si="27"/>
        <v>10.719238636363636</v>
      </c>
      <c r="R331" s="12">
        <v>7018.16</v>
      </c>
      <c r="S331" s="12">
        <v>6260.62</v>
      </c>
      <c r="T331" s="12">
        <v>70.58</v>
      </c>
      <c r="U331" s="12">
        <v>54.73</v>
      </c>
      <c r="V331" s="12">
        <v>1</v>
      </c>
    </row>
    <row r="332" spans="1:22" x14ac:dyDescent="0.25">
      <c r="A332" s="12">
        <v>2024</v>
      </c>
      <c r="B332" s="12" t="s">
        <v>333</v>
      </c>
      <c r="C332" s="12" t="s">
        <v>118</v>
      </c>
      <c r="D332" s="12" t="s">
        <v>119</v>
      </c>
      <c r="E332" s="12" t="s">
        <v>120</v>
      </c>
      <c r="F332" s="12" t="s">
        <v>362</v>
      </c>
      <c r="G332" s="12">
        <v>212</v>
      </c>
      <c r="H332" s="12">
        <v>12</v>
      </c>
      <c r="I332" s="12">
        <v>2</v>
      </c>
      <c r="J332" s="12">
        <v>3</v>
      </c>
      <c r="K332" s="12">
        <v>13</v>
      </c>
      <c r="L332" s="13" t="s">
        <v>336</v>
      </c>
      <c r="M332" s="6" t="s">
        <v>658</v>
      </c>
      <c r="N332" s="12">
        <v>10</v>
      </c>
      <c r="O332" s="12">
        <v>11.7</v>
      </c>
      <c r="P332" s="12">
        <v>43.2</v>
      </c>
      <c r="Q332" s="26">
        <f t="shared" si="27"/>
        <v>10.034090909090908</v>
      </c>
      <c r="R332" s="12">
        <v>6569.57</v>
      </c>
      <c r="S332" s="12">
        <v>5860.46</v>
      </c>
      <c r="T332" s="12">
        <v>69.41</v>
      </c>
      <c r="U332" s="12">
        <v>43.68</v>
      </c>
      <c r="V332" s="12">
        <v>0</v>
      </c>
    </row>
    <row r="333" spans="1:22" x14ac:dyDescent="0.25">
      <c r="A333" s="12">
        <v>2024</v>
      </c>
      <c r="B333" s="12" t="s">
        <v>333</v>
      </c>
      <c r="C333" s="12" t="s">
        <v>118</v>
      </c>
      <c r="D333" s="12" t="s">
        <v>119</v>
      </c>
      <c r="E333" s="12" t="s">
        <v>120</v>
      </c>
      <c r="F333" s="12" t="s">
        <v>363</v>
      </c>
      <c r="G333" s="12">
        <v>213</v>
      </c>
      <c r="H333" s="12">
        <v>13</v>
      </c>
      <c r="I333" s="12">
        <v>2</v>
      </c>
      <c r="J333" s="12">
        <v>3</v>
      </c>
      <c r="K333" s="12">
        <v>7</v>
      </c>
      <c r="L333" s="13" t="s">
        <v>69</v>
      </c>
      <c r="M333" s="6" t="s">
        <v>658</v>
      </c>
      <c r="N333" s="12">
        <v>11.15</v>
      </c>
      <c r="O333" s="12">
        <v>12</v>
      </c>
      <c r="P333" s="12">
        <v>43.4</v>
      </c>
      <c r="Q333" s="26">
        <f t="shared" si="27"/>
        <v>11.150000000000002</v>
      </c>
      <c r="R333" s="12">
        <v>7300.19</v>
      </c>
      <c r="S333" s="12">
        <v>6512.21</v>
      </c>
      <c r="T333" s="12">
        <v>69.95</v>
      </c>
      <c r="U333" s="12">
        <v>51.77</v>
      </c>
      <c r="V333" s="12">
        <v>1</v>
      </c>
    </row>
    <row r="334" spans="1:22" x14ac:dyDescent="0.25">
      <c r="A334" s="12">
        <v>2024</v>
      </c>
      <c r="B334" s="12" t="s">
        <v>333</v>
      </c>
      <c r="C334" s="12" t="s">
        <v>118</v>
      </c>
      <c r="D334" s="12" t="s">
        <v>119</v>
      </c>
      <c r="E334" s="12" t="s">
        <v>120</v>
      </c>
      <c r="F334" s="12" t="s">
        <v>364</v>
      </c>
      <c r="G334" s="12">
        <v>214</v>
      </c>
      <c r="H334" s="12">
        <v>14</v>
      </c>
      <c r="I334" s="12">
        <v>2</v>
      </c>
      <c r="J334" s="12">
        <v>3</v>
      </c>
      <c r="K334" s="12">
        <v>16</v>
      </c>
      <c r="L334" s="13" t="s">
        <v>42</v>
      </c>
      <c r="M334" s="6" t="s">
        <v>658</v>
      </c>
      <c r="N334" s="12">
        <v>9.85</v>
      </c>
      <c r="O334" s="12">
        <v>13.6</v>
      </c>
      <c r="P334" s="12">
        <v>42.5</v>
      </c>
      <c r="Q334" s="26">
        <f t="shared" si="27"/>
        <v>9.67090909090909</v>
      </c>
      <c r="R334" s="12">
        <v>6331.79</v>
      </c>
      <c r="S334" s="12">
        <v>5648.34</v>
      </c>
      <c r="T334" s="12">
        <v>71.150000000000006</v>
      </c>
      <c r="U334" s="12">
        <v>59.25</v>
      </c>
      <c r="V334" s="12">
        <v>1</v>
      </c>
    </row>
    <row r="335" spans="1:22" x14ac:dyDescent="0.25">
      <c r="A335" s="12">
        <v>2024</v>
      </c>
      <c r="B335" s="12" t="s">
        <v>333</v>
      </c>
      <c r="C335" s="12" t="s">
        <v>118</v>
      </c>
      <c r="D335" s="12" t="s">
        <v>119</v>
      </c>
      <c r="E335" s="12" t="s">
        <v>120</v>
      </c>
      <c r="F335" s="12" t="s">
        <v>365</v>
      </c>
      <c r="G335" s="12">
        <v>215</v>
      </c>
      <c r="H335" s="12">
        <v>15</v>
      </c>
      <c r="I335" s="12">
        <v>2</v>
      </c>
      <c r="J335" s="12">
        <v>3</v>
      </c>
      <c r="K335" s="12">
        <v>15</v>
      </c>
      <c r="L335" s="13" t="s">
        <v>336</v>
      </c>
      <c r="M335" s="13" t="s">
        <v>53</v>
      </c>
      <c r="N335" s="12">
        <v>9.42</v>
      </c>
      <c r="O335" s="12">
        <v>13.6</v>
      </c>
      <c r="P335" s="12">
        <v>42.3</v>
      </c>
      <c r="Q335" s="26">
        <f t="shared" si="27"/>
        <v>9.2487272727272725</v>
      </c>
      <c r="R335" s="12">
        <v>6055.38</v>
      </c>
      <c r="S335" s="12">
        <v>5401.76</v>
      </c>
      <c r="T335" s="12">
        <v>69.569999999999993</v>
      </c>
      <c r="U335" s="12">
        <v>46.25</v>
      </c>
      <c r="V335" s="12">
        <v>0</v>
      </c>
    </row>
    <row r="336" spans="1:22" x14ac:dyDescent="0.25">
      <c r="A336" s="12">
        <v>2024</v>
      </c>
      <c r="B336" s="12" t="s">
        <v>333</v>
      </c>
      <c r="C336" s="12" t="s">
        <v>118</v>
      </c>
      <c r="D336" s="12" t="s">
        <v>119</v>
      </c>
      <c r="E336" s="12" t="s">
        <v>120</v>
      </c>
      <c r="F336" s="12" t="s">
        <v>366</v>
      </c>
      <c r="G336" s="12">
        <v>301</v>
      </c>
      <c r="H336" s="12">
        <v>1</v>
      </c>
      <c r="I336" s="12">
        <v>3</v>
      </c>
      <c r="J336" s="12">
        <v>1</v>
      </c>
      <c r="K336" s="12">
        <v>4</v>
      </c>
      <c r="L336" s="13" t="s">
        <v>339</v>
      </c>
      <c r="M336" s="6" t="s">
        <v>658</v>
      </c>
      <c r="N336" s="12">
        <v>10.62</v>
      </c>
      <c r="O336" s="12">
        <v>22.5</v>
      </c>
      <c r="P336" s="12">
        <v>40.5</v>
      </c>
      <c r="Q336" s="26">
        <f t="shared" si="27"/>
        <v>9.3528409090909079</v>
      </c>
      <c r="R336" s="12">
        <v>6123.54</v>
      </c>
      <c r="S336" s="12">
        <v>5462.57</v>
      </c>
      <c r="T336" s="12">
        <v>67.58</v>
      </c>
      <c r="U336" s="12">
        <v>60.94</v>
      </c>
      <c r="V336" s="12">
        <v>1</v>
      </c>
    </row>
    <row r="337" spans="1:22" x14ac:dyDescent="0.25">
      <c r="A337" s="12">
        <v>2024</v>
      </c>
      <c r="B337" s="12" t="s">
        <v>333</v>
      </c>
      <c r="C337" s="12" t="s">
        <v>118</v>
      </c>
      <c r="D337" s="12" t="s">
        <v>119</v>
      </c>
      <c r="E337" s="12" t="s">
        <v>120</v>
      </c>
      <c r="F337" s="12" t="s">
        <v>367</v>
      </c>
      <c r="G337" s="12">
        <v>302</v>
      </c>
      <c r="H337" s="12">
        <v>2</v>
      </c>
      <c r="I337" s="12">
        <v>3</v>
      </c>
      <c r="J337" s="12">
        <v>1</v>
      </c>
      <c r="K337" s="12">
        <v>1</v>
      </c>
      <c r="L337" s="13" t="s">
        <v>100</v>
      </c>
      <c r="M337" s="6" t="s">
        <v>658</v>
      </c>
      <c r="N337" s="12">
        <v>11.49</v>
      </c>
      <c r="O337" s="12">
        <v>15.7</v>
      </c>
      <c r="P337" s="12">
        <v>41.9</v>
      </c>
      <c r="Q337" s="26">
        <f t="shared" si="27"/>
        <v>11.006897727272726</v>
      </c>
      <c r="R337" s="12">
        <v>7206.5</v>
      </c>
      <c r="S337" s="12">
        <v>6428.63</v>
      </c>
      <c r="T337" s="12">
        <v>67.97</v>
      </c>
      <c r="U337" s="12">
        <v>50.33</v>
      </c>
      <c r="V337" s="12">
        <v>1</v>
      </c>
    </row>
    <row r="338" spans="1:22" x14ac:dyDescent="0.25">
      <c r="A338" s="12">
        <v>2024</v>
      </c>
      <c r="B338" s="12" t="s">
        <v>333</v>
      </c>
      <c r="C338" s="12" t="s">
        <v>118</v>
      </c>
      <c r="D338" s="12" t="s">
        <v>119</v>
      </c>
      <c r="E338" s="12" t="s">
        <v>120</v>
      </c>
      <c r="F338" s="12" t="s">
        <v>368</v>
      </c>
      <c r="G338" s="12">
        <v>303</v>
      </c>
      <c r="H338" s="12">
        <v>3</v>
      </c>
      <c r="I338" s="12">
        <v>3</v>
      </c>
      <c r="J338" s="12">
        <v>1</v>
      </c>
      <c r="K338" s="12">
        <v>11</v>
      </c>
      <c r="L338" s="13" t="s">
        <v>27</v>
      </c>
      <c r="M338" s="13" t="s">
        <v>30</v>
      </c>
      <c r="N338" s="12">
        <v>11.75</v>
      </c>
      <c r="O338" s="12">
        <v>17.5</v>
      </c>
      <c r="P338" s="12">
        <v>41.4</v>
      </c>
      <c r="Q338" s="26">
        <f t="shared" si="27"/>
        <v>11.015625</v>
      </c>
      <c r="R338" s="12">
        <v>7212.21</v>
      </c>
      <c r="S338" s="12">
        <v>6433.73</v>
      </c>
      <c r="T338" s="12">
        <v>71.03</v>
      </c>
      <c r="U338" s="12">
        <v>59.31</v>
      </c>
      <c r="V338" s="12">
        <v>1</v>
      </c>
    </row>
    <row r="339" spans="1:22" x14ac:dyDescent="0.25">
      <c r="A339" s="12">
        <v>2024</v>
      </c>
      <c r="B339" s="12" t="s">
        <v>333</v>
      </c>
      <c r="C339" s="12" t="s">
        <v>118</v>
      </c>
      <c r="D339" s="12" t="s">
        <v>119</v>
      </c>
      <c r="E339" s="12" t="s">
        <v>120</v>
      </c>
      <c r="F339" s="12" t="s">
        <v>369</v>
      </c>
      <c r="G339" s="12">
        <v>304</v>
      </c>
      <c r="H339" s="12">
        <v>4</v>
      </c>
      <c r="I339" s="12">
        <v>3</v>
      </c>
      <c r="J339" s="12">
        <v>1</v>
      </c>
      <c r="K339" s="12">
        <v>3</v>
      </c>
      <c r="L339" s="13" t="s">
        <v>100</v>
      </c>
      <c r="M339" s="13" t="s">
        <v>53</v>
      </c>
      <c r="N339" s="12">
        <v>10.99</v>
      </c>
      <c r="O339" s="12">
        <v>15.8</v>
      </c>
      <c r="P339" s="12">
        <v>41.9</v>
      </c>
      <c r="Q339" s="26">
        <f>N339*(1-O339/100)/(1-0.12)</f>
        <v>10.515431818181817</v>
      </c>
      <c r="R339" s="12">
        <v>6884.72</v>
      </c>
      <c r="S339" s="12">
        <v>6141.59</v>
      </c>
      <c r="T339" s="12"/>
      <c r="U339" s="12"/>
      <c r="V339" s="12">
        <v>1</v>
      </c>
    </row>
    <row r="340" spans="1:22" x14ac:dyDescent="0.25">
      <c r="A340" s="12">
        <v>2024</v>
      </c>
      <c r="B340" s="12" t="s">
        <v>333</v>
      </c>
      <c r="C340" s="12" t="s">
        <v>118</v>
      </c>
      <c r="D340" s="12" t="s">
        <v>119</v>
      </c>
      <c r="E340" s="12" t="s">
        <v>120</v>
      </c>
      <c r="F340" s="12" t="s">
        <v>370</v>
      </c>
      <c r="G340" s="12">
        <v>305</v>
      </c>
      <c r="H340" s="12">
        <v>5</v>
      </c>
      <c r="I340" s="12">
        <v>3</v>
      </c>
      <c r="J340" s="12">
        <v>1</v>
      </c>
      <c r="K340" s="12">
        <v>16</v>
      </c>
      <c r="L340" s="13" t="s">
        <v>42</v>
      </c>
      <c r="M340" s="6" t="s">
        <v>658</v>
      </c>
      <c r="N340" s="12">
        <v>11.56</v>
      </c>
      <c r="O340" s="12">
        <v>15.1</v>
      </c>
      <c r="P340" s="12">
        <v>42</v>
      </c>
      <c r="Q340" s="26">
        <f t="shared" si="27"/>
        <v>11.152772727272726</v>
      </c>
      <c r="R340" s="12">
        <v>7302</v>
      </c>
      <c r="S340" s="12">
        <v>6513.83</v>
      </c>
      <c r="T340" s="12">
        <v>70.36</v>
      </c>
      <c r="U340" s="12">
        <v>58.09</v>
      </c>
      <c r="V340" s="12">
        <v>0</v>
      </c>
    </row>
    <row r="341" spans="1:22" x14ac:dyDescent="0.25">
      <c r="A341" s="12">
        <v>2024</v>
      </c>
      <c r="B341" s="12" t="s">
        <v>333</v>
      </c>
      <c r="C341" s="12" t="s">
        <v>118</v>
      </c>
      <c r="D341" s="12" t="s">
        <v>119</v>
      </c>
      <c r="E341" s="12" t="s">
        <v>120</v>
      </c>
      <c r="F341" s="12" t="s">
        <v>371</v>
      </c>
      <c r="G341" s="12">
        <v>306</v>
      </c>
      <c r="H341" s="12">
        <v>6</v>
      </c>
      <c r="I341" s="12">
        <v>3</v>
      </c>
      <c r="J341" s="12">
        <v>2</v>
      </c>
      <c r="K341" s="12">
        <v>7</v>
      </c>
      <c r="L341" s="13" t="s">
        <v>69</v>
      </c>
      <c r="M341" s="6" t="s">
        <v>658</v>
      </c>
      <c r="N341" s="12">
        <v>12.73</v>
      </c>
      <c r="O341" s="12">
        <v>14.3</v>
      </c>
      <c r="P341" s="12">
        <v>42.3</v>
      </c>
      <c r="Q341" s="26">
        <f t="shared" si="27"/>
        <v>12.397284090909091</v>
      </c>
      <c r="R341" s="12">
        <v>8116.82</v>
      </c>
      <c r="S341" s="12">
        <v>7240.69</v>
      </c>
      <c r="T341" s="12">
        <v>70.86</v>
      </c>
      <c r="U341" s="12">
        <v>55.22</v>
      </c>
      <c r="V341" s="12">
        <v>1</v>
      </c>
    </row>
    <row r="342" spans="1:22" x14ac:dyDescent="0.25">
      <c r="A342" s="12">
        <v>2024</v>
      </c>
      <c r="B342" s="12" t="s">
        <v>333</v>
      </c>
      <c r="C342" s="12" t="s">
        <v>118</v>
      </c>
      <c r="D342" s="12" t="s">
        <v>119</v>
      </c>
      <c r="E342" s="12" t="s">
        <v>120</v>
      </c>
      <c r="F342" s="12" t="s">
        <v>372</v>
      </c>
      <c r="G342" s="12">
        <v>307</v>
      </c>
      <c r="H342" s="12">
        <v>7</v>
      </c>
      <c r="I342" s="12">
        <v>3</v>
      </c>
      <c r="J342" s="12">
        <v>2</v>
      </c>
      <c r="K342" s="12">
        <v>16</v>
      </c>
      <c r="L342" s="13" t="s">
        <v>42</v>
      </c>
      <c r="M342" s="6" t="s">
        <v>658</v>
      </c>
      <c r="N342" s="12">
        <v>11.14</v>
      </c>
      <c r="O342" s="12">
        <v>14.7</v>
      </c>
      <c r="P342" s="12">
        <v>42.2</v>
      </c>
      <c r="Q342" s="26">
        <f t="shared" si="27"/>
        <v>10.798204545454546</v>
      </c>
      <c r="R342" s="12">
        <v>7069.86</v>
      </c>
      <c r="S342" s="12">
        <v>6306.74</v>
      </c>
      <c r="T342" s="12">
        <v>70.930000000000007</v>
      </c>
      <c r="U342" s="12">
        <v>60.27</v>
      </c>
      <c r="V342" s="12">
        <v>1</v>
      </c>
    </row>
    <row r="343" spans="1:22" x14ac:dyDescent="0.25">
      <c r="A343" s="12">
        <v>2024</v>
      </c>
      <c r="B343" s="12" t="s">
        <v>333</v>
      </c>
      <c r="C343" s="12" t="s">
        <v>118</v>
      </c>
      <c r="D343" s="12" t="s">
        <v>119</v>
      </c>
      <c r="E343" s="12" t="s">
        <v>120</v>
      </c>
      <c r="F343" s="12" t="s">
        <v>373</v>
      </c>
      <c r="G343" s="12">
        <v>308</v>
      </c>
      <c r="H343" s="12">
        <v>8</v>
      </c>
      <c r="I343" s="12">
        <v>3</v>
      </c>
      <c r="J343" s="12">
        <v>2</v>
      </c>
      <c r="K343" s="12">
        <v>4</v>
      </c>
      <c r="L343" s="13" t="s">
        <v>339</v>
      </c>
      <c r="M343" s="6" t="s">
        <v>658</v>
      </c>
      <c r="N343" s="12">
        <v>11.51</v>
      </c>
      <c r="O343" s="12">
        <v>21.2</v>
      </c>
      <c r="P343" s="12">
        <v>41.1</v>
      </c>
      <c r="Q343" s="26">
        <f t="shared" si="27"/>
        <v>10.306681818181817</v>
      </c>
      <c r="R343" s="12">
        <v>6748.05</v>
      </c>
      <c r="S343" s="12">
        <v>6019.67</v>
      </c>
      <c r="T343" s="12">
        <v>67.3</v>
      </c>
      <c r="U343" s="12">
        <v>61.34</v>
      </c>
      <c r="V343" s="12">
        <v>1</v>
      </c>
    </row>
    <row r="344" spans="1:22" x14ac:dyDescent="0.25">
      <c r="A344" s="12">
        <v>2024</v>
      </c>
      <c r="B344" s="12" t="s">
        <v>333</v>
      </c>
      <c r="C344" s="12" t="s">
        <v>118</v>
      </c>
      <c r="D344" s="12" t="s">
        <v>119</v>
      </c>
      <c r="E344" s="12" t="s">
        <v>120</v>
      </c>
      <c r="F344" s="12" t="s">
        <v>374</v>
      </c>
      <c r="G344" s="12">
        <v>309</v>
      </c>
      <c r="H344" s="12">
        <v>9</v>
      </c>
      <c r="I344" s="12">
        <v>3</v>
      </c>
      <c r="J344" s="12">
        <v>2</v>
      </c>
      <c r="K344" s="12">
        <v>8</v>
      </c>
      <c r="L344" s="13" t="s">
        <v>69</v>
      </c>
      <c r="M344" s="13" t="s">
        <v>30</v>
      </c>
      <c r="N344" s="12">
        <v>11.85</v>
      </c>
      <c r="O344" s="12">
        <v>12.8</v>
      </c>
      <c r="P344" s="12">
        <v>43.1</v>
      </c>
      <c r="Q344" s="26">
        <f>N344*(1-O344/100)/(1-0.12)</f>
        <v>11.742272727272727</v>
      </c>
      <c r="R344" s="12">
        <v>7687.96</v>
      </c>
      <c r="S344" s="12">
        <v>6858.13</v>
      </c>
      <c r="T344" s="12">
        <v>71.09</v>
      </c>
      <c r="U344" s="12">
        <v>56.02</v>
      </c>
      <c r="V344" s="12">
        <v>1</v>
      </c>
    </row>
    <row r="345" spans="1:22" x14ac:dyDescent="0.25">
      <c r="A345" s="12">
        <v>2024</v>
      </c>
      <c r="B345" s="12" t="s">
        <v>333</v>
      </c>
      <c r="C345" s="12" t="s">
        <v>118</v>
      </c>
      <c r="D345" s="12" t="s">
        <v>119</v>
      </c>
      <c r="E345" s="12" t="s">
        <v>120</v>
      </c>
      <c r="F345" s="12" t="s">
        <v>375</v>
      </c>
      <c r="G345" s="12">
        <v>310</v>
      </c>
      <c r="H345" s="12">
        <v>10</v>
      </c>
      <c r="I345" s="12">
        <v>3</v>
      </c>
      <c r="J345" s="12">
        <v>2</v>
      </c>
      <c r="K345" s="12">
        <v>3</v>
      </c>
      <c r="L345" s="13" t="s">
        <v>100</v>
      </c>
      <c r="M345" s="13" t="s">
        <v>53</v>
      </c>
      <c r="N345" s="12">
        <v>11.37</v>
      </c>
      <c r="O345" s="12">
        <v>14</v>
      </c>
      <c r="P345" s="12">
        <v>42.5</v>
      </c>
      <c r="Q345" s="26">
        <f t="shared" si="27"/>
        <v>11.111590909090909</v>
      </c>
      <c r="R345" s="12">
        <v>7275.04</v>
      </c>
      <c r="S345" s="12">
        <v>6489.78</v>
      </c>
      <c r="T345" s="12">
        <v>67.650000000000006</v>
      </c>
      <c r="U345" s="12">
        <v>47.01</v>
      </c>
      <c r="V345" s="12">
        <v>1</v>
      </c>
    </row>
    <row r="346" spans="1:22" x14ac:dyDescent="0.25">
      <c r="A346" s="12">
        <v>2024</v>
      </c>
      <c r="B346" s="12" t="s">
        <v>333</v>
      </c>
      <c r="C346" s="12" t="s">
        <v>118</v>
      </c>
      <c r="D346" s="12" t="s">
        <v>119</v>
      </c>
      <c r="E346" s="12" t="s">
        <v>120</v>
      </c>
      <c r="F346" s="12" t="s">
        <v>376</v>
      </c>
      <c r="G346" s="12">
        <v>311</v>
      </c>
      <c r="H346" s="12">
        <v>11</v>
      </c>
      <c r="I346" s="12">
        <v>3</v>
      </c>
      <c r="J346" s="12">
        <v>3</v>
      </c>
      <c r="K346" s="12">
        <v>14</v>
      </c>
      <c r="L346" s="13" t="s">
        <v>336</v>
      </c>
      <c r="M346" s="13" t="s">
        <v>30</v>
      </c>
      <c r="N346" s="12">
        <v>10.57</v>
      </c>
      <c r="O346" s="12">
        <v>13.5</v>
      </c>
      <c r="P346" s="12">
        <v>42.5</v>
      </c>
      <c r="Q346" s="26">
        <f t="shared" si="27"/>
        <v>10.389829545454546</v>
      </c>
      <c r="R346" s="12">
        <v>6802.49</v>
      </c>
      <c r="S346" s="12">
        <v>6068.23</v>
      </c>
      <c r="T346" s="12">
        <v>70.11</v>
      </c>
      <c r="U346" s="12">
        <v>48.68</v>
      </c>
      <c r="V346" s="12">
        <v>1</v>
      </c>
    </row>
    <row r="347" spans="1:22" x14ac:dyDescent="0.25">
      <c r="A347" s="12">
        <v>2024</v>
      </c>
      <c r="B347" s="12" t="s">
        <v>333</v>
      </c>
      <c r="C347" s="12" t="s">
        <v>118</v>
      </c>
      <c r="D347" s="12" t="s">
        <v>119</v>
      </c>
      <c r="E347" s="12" t="s">
        <v>120</v>
      </c>
      <c r="F347" s="12" t="s">
        <v>377</v>
      </c>
      <c r="G347" s="12">
        <v>312</v>
      </c>
      <c r="H347" s="12">
        <v>12</v>
      </c>
      <c r="I347" s="12">
        <v>3</v>
      </c>
      <c r="J347" s="12">
        <v>3</v>
      </c>
      <c r="K347" s="12">
        <v>8</v>
      </c>
      <c r="L347" s="13" t="s">
        <v>69</v>
      </c>
      <c r="M347" s="13" t="s">
        <v>30</v>
      </c>
      <c r="N347" s="12">
        <v>12.3</v>
      </c>
      <c r="O347" s="12">
        <v>11.7</v>
      </c>
      <c r="P347" s="12">
        <v>43.5</v>
      </c>
      <c r="Q347" s="26">
        <f t="shared" si="27"/>
        <v>12.34193181818182</v>
      </c>
      <c r="R347" s="12">
        <v>8080.58</v>
      </c>
      <c r="S347" s="12">
        <v>7208.36</v>
      </c>
      <c r="T347" s="12">
        <v>71.38</v>
      </c>
      <c r="U347" s="12">
        <v>56.61</v>
      </c>
      <c r="V347" s="12">
        <v>1</v>
      </c>
    </row>
    <row r="348" spans="1:22" x14ac:dyDescent="0.25">
      <c r="A348" s="12">
        <v>2024</v>
      </c>
      <c r="B348" s="12" t="s">
        <v>333</v>
      </c>
      <c r="C348" s="12" t="s">
        <v>118</v>
      </c>
      <c r="D348" s="12" t="s">
        <v>119</v>
      </c>
      <c r="E348" s="12" t="s">
        <v>120</v>
      </c>
      <c r="F348" s="12" t="s">
        <v>378</v>
      </c>
      <c r="G348" s="12">
        <v>313</v>
      </c>
      <c r="H348" s="12">
        <v>13</v>
      </c>
      <c r="I348" s="12">
        <v>3</v>
      </c>
      <c r="J348" s="12">
        <v>3</v>
      </c>
      <c r="K348" s="12">
        <v>11</v>
      </c>
      <c r="L348" s="13" t="s">
        <v>27</v>
      </c>
      <c r="M348" s="13" t="s">
        <v>30</v>
      </c>
      <c r="N348" s="12">
        <v>10.7</v>
      </c>
      <c r="O348" s="12">
        <v>14.2</v>
      </c>
      <c r="P348" s="12">
        <v>42.6</v>
      </c>
      <c r="Q348" s="26">
        <f t="shared" si="27"/>
        <v>10.432499999999999</v>
      </c>
      <c r="R348" s="12">
        <v>6830.42</v>
      </c>
      <c r="S348" s="12">
        <v>6093.15</v>
      </c>
      <c r="T348" s="12">
        <v>72.510000000000005</v>
      </c>
      <c r="U348" s="12">
        <v>59.61</v>
      </c>
      <c r="V348" s="12">
        <v>1</v>
      </c>
    </row>
    <row r="349" spans="1:22" x14ac:dyDescent="0.25">
      <c r="A349" s="12">
        <v>2024</v>
      </c>
      <c r="B349" s="12" t="s">
        <v>333</v>
      </c>
      <c r="C349" s="12" t="s">
        <v>118</v>
      </c>
      <c r="D349" s="12" t="s">
        <v>119</v>
      </c>
      <c r="E349" s="12" t="s">
        <v>120</v>
      </c>
      <c r="F349" s="12" t="s">
        <v>379</v>
      </c>
      <c r="G349" s="12">
        <v>314</v>
      </c>
      <c r="H349" s="12">
        <v>14</v>
      </c>
      <c r="I349" s="12">
        <v>3</v>
      </c>
      <c r="J349" s="12">
        <v>3</v>
      </c>
      <c r="K349" s="12">
        <v>20</v>
      </c>
      <c r="L349" s="13" t="s">
        <v>82</v>
      </c>
      <c r="M349" s="6" t="s">
        <v>658</v>
      </c>
      <c r="N349" s="12">
        <v>11.55</v>
      </c>
      <c r="O349" s="12">
        <v>14.5</v>
      </c>
      <c r="P349" s="12">
        <v>42.4</v>
      </c>
      <c r="Q349" s="26">
        <f t="shared" si="27"/>
        <v>11.221875000000001</v>
      </c>
      <c r="R349" s="12">
        <v>7347.25</v>
      </c>
      <c r="S349" s="12">
        <v>6554.19</v>
      </c>
      <c r="T349" s="12">
        <v>70.19</v>
      </c>
      <c r="U349" s="12">
        <v>58.07</v>
      </c>
      <c r="V349" s="12">
        <v>1</v>
      </c>
    </row>
    <row r="350" spans="1:22" x14ac:dyDescent="0.25">
      <c r="A350" s="12">
        <v>2024</v>
      </c>
      <c r="B350" s="12" t="s">
        <v>333</v>
      </c>
      <c r="C350" s="12" t="s">
        <v>118</v>
      </c>
      <c r="D350" s="12" t="s">
        <v>119</v>
      </c>
      <c r="E350" s="12" t="s">
        <v>120</v>
      </c>
      <c r="F350" s="12" t="s">
        <v>380</v>
      </c>
      <c r="G350" s="12">
        <v>315</v>
      </c>
      <c r="H350" s="12">
        <v>15</v>
      </c>
      <c r="I350" s="12">
        <v>3</v>
      </c>
      <c r="J350" s="12">
        <v>3</v>
      </c>
      <c r="K350" s="12">
        <v>12</v>
      </c>
      <c r="L350" s="13" t="s">
        <v>27</v>
      </c>
      <c r="M350" s="13" t="s">
        <v>53</v>
      </c>
      <c r="N350" s="12">
        <v>10.19</v>
      </c>
      <c r="O350" s="12">
        <v>14.3</v>
      </c>
      <c r="P350" s="12">
        <v>42.4</v>
      </c>
      <c r="Q350" s="26">
        <f t="shared" si="27"/>
        <v>9.923670454545455</v>
      </c>
      <c r="R350" s="12">
        <v>6497.28</v>
      </c>
      <c r="S350" s="12">
        <v>5795.97</v>
      </c>
      <c r="T350" s="12">
        <v>72.12</v>
      </c>
      <c r="U350" s="12">
        <v>56.88</v>
      </c>
      <c r="V350" s="12">
        <v>1</v>
      </c>
    </row>
    <row r="351" spans="1:22" x14ac:dyDescent="0.25">
      <c r="A351" s="12">
        <v>2024</v>
      </c>
      <c r="B351" s="12" t="s">
        <v>333</v>
      </c>
      <c r="C351" s="12" t="s">
        <v>118</v>
      </c>
      <c r="D351" s="12" t="s">
        <v>119</v>
      </c>
      <c r="E351" s="12" t="s">
        <v>120</v>
      </c>
      <c r="F351" s="12" t="s">
        <v>381</v>
      </c>
      <c r="G351" s="12">
        <v>401</v>
      </c>
      <c r="H351" s="12">
        <v>1</v>
      </c>
      <c r="I351" s="12">
        <v>4</v>
      </c>
      <c r="J351" s="12">
        <v>1</v>
      </c>
      <c r="K351" s="12">
        <v>2</v>
      </c>
      <c r="L351" s="13" t="s">
        <v>100</v>
      </c>
      <c r="M351" s="13" t="s">
        <v>30</v>
      </c>
      <c r="N351" s="12">
        <v>11.98</v>
      </c>
      <c r="O351" s="12">
        <v>15.3</v>
      </c>
      <c r="P351" s="12">
        <v>42</v>
      </c>
      <c r="Q351" s="26">
        <f t="shared" si="27"/>
        <v>11.530749999999999</v>
      </c>
      <c r="R351" s="12">
        <v>7549.48</v>
      </c>
      <c r="S351" s="12">
        <v>6734.59</v>
      </c>
      <c r="T351" s="12">
        <v>69.2</v>
      </c>
      <c r="U351" s="12">
        <v>47.69</v>
      </c>
      <c r="V351" s="12">
        <v>1</v>
      </c>
    </row>
    <row r="352" spans="1:22" x14ac:dyDescent="0.25">
      <c r="A352" s="12">
        <v>2024</v>
      </c>
      <c r="B352" s="12" t="s">
        <v>333</v>
      </c>
      <c r="C352" s="12" t="s">
        <v>118</v>
      </c>
      <c r="D352" s="12" t="s">
        <v>119</v>
      </c>
      <c r="E352" s="12" t="s">
        <v>120</v>
      </c>
      <c r="F352" s="12" t="s">
        <v>382</v>
      </c>
      <c r="G352" s="12">
        <v>402</v>
      </c>
      <c r="H352" s="12">
        <v>2</v>
      </c>
      <c r="I352" s="12">
        <v>4</v>
      </c>
      <c r="J352" s="12">
        <v>1</v>
      </c>
      <c r="K352" s="12">
        <v>20</v>
      </c>
      <c r="L352" s="13" t="s">
        <v>82</v>
      </c>
      <c r="M352" s="6" t="s">
        <v>658</v>
      </c>
      <c r="N352" s="12">
        <v>12.16</v>
      </c>
      <c r="O352" s="12">
        <v>16.8</v>
      </c>
      <c r="P352" s="12">
        <v>41.8</v>
      </c>
      <c r="Q352" s="26">
        <f t="shared" si="27"/>
        <v>11.496727272727272</v>
      </c>
      <c r="R352" s="12">
        <v>7527.2</v>
      </c>
      <c r="S352" s="12">
        <v>6714.72</v>
      </c>
      <c r="T352" s="12">
        <v>71.03</v>
      </c>
      <c r="U352" s="12">
        <v>58.59</v>
      </c>
      <c r="V352" s="12">
        <v>1</v>
      </c>
    </row>
    <row r="353" spans="1:22" x14ac:dyDescent="0.25">
      <c r="A353" s="12">
        <v>2024</v>
      </c>
      <c r="B353" s="12" t="s">
        <v>333</v>
      </c>
      <c r="C353" s="12" t="s">
        <v>118</v>
      </c>
      <c r="D353" s="12" t="s">
        <v>119</v>
      </c>
      <c r="E353" s="12" t="s">
        <v>120</v>
      </c>
      <c r="F353" s="12" t="s">
        <v>383</v>
      </c>
      <c r="G353" s="12">
        <v>403</v>
      </c>
      <c r="H353" s="12">
        <v>3</v>
      </c>
      <c r="I353" s="12">
        <v>4</v>
      </c>
      <c r="J353" s="12">
        <v>1</v>
      </c>
      <c r="K353" s="12">
        <v>5</v>
      </c>
      <c r="L353" s="13" t="s">
        <v>339</v>
      </c>
      <c r="M353" s="13" t="s">
        <v>30</v>
      </c>
      <c r="N353" s="12">
        <v>10.99</v>
      </c>
      <c r="O353" s="12">
        <v>23</v>
      </c>
      <c r="P353" s="12">
        <v>40.799999999999997</v>
      </c>
      <c r="Q353" s="26">
        <f t="shared" si="27"/>
        <v>9.6162500000000009</v>
      </c>
      <c r="R353" s="12">
        <v>6296</v>
      </c>
      <c r="S353" s="12">
        <v>5616.42</v>
      </c>
      <c r="T353" s="12">
        <v>68.91</v>
      </c>
      <c r="U353" s="12">
        <v>62.05</v>
      </c>
      <c r="V353" s="12">
        <v>1</v>
      </c>
    </row>
    <row r="354" spans="1:22" x14ac:dyDescent="0.25">
      <c r="A354" s="12">
        <v>2024</v>
      </c>
      <c r="B354" s="12" t="s">
        <v>333</v>
      </c>
      <c r="C354" s="12" t="s">
        <v>118</v>
      </c>
      <c r="D354" s="12" t="s">
        <v>119</v>
      </c>
      <c r="E354" s="12" t="s">
        <v>120</v>
      </c>
      <c r="F354" s="12" t="s">
        <v>384</v>
      </c>
      <c r="G354" s="12">
        <v>404</v>
      </c>
      <c r="H354" s="12">
        <v>4</v>
      </c>
      <c r="I354" s="12">
        <v>4</v>
      </c>
      <c r="J354" s="12">
        <v>1</v>
      </c>
      <c r="K354" s="12">
        <v>12</v>
      </c>
      <c r="L354" s="13" t="s">
        <v>27</v>
      </c>
      <c r="M354" s="13" t="s">
        <v>53</v>
      </c>
      <c r="N354" s="12">
        <v>10.7</v>
      </c>
      <c r="O354" s="12">
        <v>16.3</v>
      </c>
      <c r="P354" s="12">
        <v>41.8</v>
      </c>
      <c r="Q354" s="26">
        <f t="shared" si="27"/>
        <v>10.177159090909091</v>
      </c>
      <c r="R354" s="12">
        <v>6663.24</v>
      </c>
      <c r="S354" s="12">
        <v>5944.02</v>
      </c>
      <c r="T354" s="12">
        <v>72.44</v>
      </c>
      <c r="U354" s="12">
        <v>59.48</v>
      </c>
      <c r="V354" s="12">
        <v>1</v>
      </c>
    </row>
    <row r="355" spans="1:22" x14ac:dyDescent="0.25">
      <c r="A355" s="12">
        <v>2024</v>
      </c>
      <c r="B355" s="12" t="s">
        <v>333</v>
      </c>
      <c r="C355" s="12" t="s">
        <v>118</v>
      </c>
      <c r="D355" s="12" t="s">
        <v>119</v>
      </c>
      <c r="E355" s="12" t="s">
        <v>120</v>
      </c>
      <c r="F355" s="12" t="s">
        <v>385</v>
      </c>
      <c r="G355" s="12">
        <v>405</v>
      </c>
      <c r="H355" s="12">
        <v>5</v>
      </c>
      <c r="I355" s="12">
        <v>4</v>
      </c>
      <c r="J355" s="12">
        <v>1</v>
      </c>
      <c r="K355" s="12">
        <v>10</v>
      </c>
      <c r="L355" s="13" t="s">
        <v>27</v>
      </c>
      <c r="M355" s="6" t="s">
        <v>658</v>
      </c>
      <c r="N355" s="12">
        <v>11.13</v>
      </c>
      <c r="O355" s="12">
        <v>15.9</v>
      </c>
      <c r="P355" s="12">
        <v>41.9</v>
      </c>
      <c r="Q355" s="26">
        <f t="shared" si="27"/>
        <v>10.636738636363638</v>
      </c>
      <c r="R355" s="12">
        <v>6964.14</v>
      </c>
      <c r="S355" s="12">
        <v>6212.44</v>
      </c>
      <c r="T355" s="12">
        <v>72.53</v>
      </c>
      <c r="U355" s="12">
        <v>59.86</v>
      </c>
      <c r="V355" s="12">
        <v>1</v>
      </c>
    </row>
    <row r="356" spans="1:22" x14ac:dyDescent="0.25">
      <c r="A356" s="12">
        <v>2024</v>
      </c>
      <c r="B356" s="12" t="s">
        <v>333</v>
      </c>
      <c r="C356" s="12" t="s">
        <v>118</v>
      </c>
      <c r="D356" s="12" t="s">
        <v>119</v>
      </c>
      <c r="E356" s="12" t="s">
        <v>120</v>
      </c>
      <c r="F356" s="12" t="s">
        <v>386</v>
      </c>
      <c r="G356" s="12">
        <v>406</v>
      </c>
      <c r="H356" s="12">
        <v>6</v>
      </c>
      <c r="I356" s="12">
        <v>4</v>
      </c>
      <c r="J356" s="12">
        <v>2</v>
      </c>
      <c r="K356" s="12">
        <v>20</v>
      </c>
      <c r="L356" s="13" t="s">
        <v>82</v>
      </c>
      <c r="M356" s="6" t="s">
        <v>658</v>
      </c>
      <c r="N356" s="12">
        <v>12.81</v>
      </c>
      <c r="O356" s="12">
        <v>15.9</v>
      </c>
      <c r="P356" s="12">
        <v>42.1</v>
      </c>
      <c r="Q356" s="26">
        <f t="shared" si="27"/>
        <v>12.242284090909092</v>
      </c>
      <c r="R356" s="12">
        <v>8015.33</v>
      </c>
      <c r="S356" s="12">
        <v>7150.16</v>
      </c>
      <c r="T356" s="12">
        <v>72.03</v>
      </c>
      <c r="U356" s="12">
        <v>61.27</v>
      </c>
      <c r="V356" s="12">
        <v>1</v>
      </c>
    </row>
    <row r="357" spans="1:22" x14ac:dyDescent="0.25">
      <c r="A357" s="12">
        <v>2024</v>
      </c>
      <c r="B357" s="12" t="s">
        <v>333</v>
      </c>
      <c r="C357" s="12" t="s">
        <v>118</v>
      </c>
      <c r="D357" s="12" t="s">
        <v>119</v>
      </c>
      <c r="E357" s="12" t="s">
        <v>120</v>
      </c>
      <c r="F357" s="12" t="s">
        <v>387</v>
      </c>
      <c r="G357" s="12">
        <v>407</v>
      </c>
      <c r="H357" s="12">
        <v>7</v>
      </c>
      <c r="I357" s="12">
        <v>4</v>
      </c>
      <c r="J357" s="12">
        <v>2</v>
      </c>
      <c r="K357" s="12">
        <v>19</v>
      </c>
      <c r="L357" s="13" t="s">
        <v>113</v>
      </c>
      <c r="M357" s="6" t="s">
        <v>658</v>
      </c>
      <c r="N357" s="12">
        <v>10.86</v>
      </c>
      <c r="O357" s="12">
        <v>16.600000000000001</v>
      </c>
      <c r="P357" s="12">
        <v>41.8</v>
      </c>
      <c r="Q357" s="26">
        <f t="shared" si="27"/>
        <v>10.29231818181818</v>
      </c>
      <c r="R357" s="12">
        <v>6738.64</v>
      </c>
      <c r="S357" s="12">
        <v>6011.28</v>
      </c>
      <c r="T357" s="12">
        <v>69.319999999999993</v>
      </c>
      <c r="U357" s="12">
        <v>56.92</v>
      </c>
      <c r="V357" s="12">
        <v>2</v>
      </c>
    </row>
    <row r="358" spans="1:22" x14ac:dyDescent="0.25">
      <c r="A358" s="12">
        <v>2024</v>
      </c>
      <c r="B358" s="12" t="s">
        <v>333</v>
      </c>
      <c r="C358" s="12" t="s">
        <v>118</v>
      </c>
      <c r="D358" s="12" t="s">
        <v>119</v>
      </c>
      <c r="E358" s="12" t="s">
        <v>120</v>
      </c>
      <c r="F358" s="12" t="s">
        <v>388</v>
      </c>
      <c r="G358" s="12">
        <v>408</v>
      </c>
      <c r="H358" s="12">
        <v>8</v>
      </c>
      <c r="I358" s="12">
        <v>4</v>
      </c>
      <c r="J358" s="12">
        <v>2</v>
      </c>
      <c r="K358" s="12">
        <v>9</v>
      </c>
      <c r="L358" s="13" t="s">
        <v>69</v>
      </c>
      <c r="M358" s="13" t="s">
        <v>53</v>
      </c>
      <c r="N358" s="12">
        <v>12.46</v>
      </c>
      <c r="O358" s="12">
        <v>12.6</v>
      </c>
      <c r="P358" s="12">
        <v>43</v>
      </c>
      <c r="Q358" s="26">
        <f t="shared" si="27"/>
        <v>12.375045454545456</v>
      </c>
      <c r="R358" s="12">
        <v>8102.26</v>
      </c>
      <c r="S358" s="12">
        <v>7227.7</v>
      </c>
      <c r="T358" s="12">
        <v>71.38</v>
      </c>
      <c r="U358" s="12">
        <v>56.42</v>
      </c>
      <c r="V358" s="12">
        <v>1</v>
      </c>
    </row>
    <row r="359" spans="1:22" x14ac:dyDescent="0.25">
      <c r="A359" s="12">
        <v>2024</v>
      </c>
      <c r="B359" s="12" t="s">
        <v>333</v>
      </c>
      <c r="C359" s="12" t="s">
        <v>118</v>
      </c>
      <c r="D359" s="12" t="s">
        <v>119</v>
      </c>
      <c r="E359" s="12" t="s">
        <v>120</v>
      </c>
      <c r="F359" s="12" t="s">
        <v>389</v>
      </c>
      <c r="G359" s="12">
        <v>409</v>
      </c>
      <c r="H359" s="12">
        <v>9</v>
      </c>
      <c r="I359" s="12">
        <v>4</v>
      </c>
      <c r="J359" s="12">
        <v>2</v>
      </c>
      <c r="K359" s="12">
        <v>6</v>
      </c>
      <c r="L359" s="13" t="s">
        <v>339</v>
      </c>
      <c r="M359" s="13" t="s">
        <v>53</v>
      </c>
      <c r="N359" s="12">
        <v>11.24</v>
      </c>
      <c r="O359" s="12">
        <v>20.9</v>
      </c>
      <c r="P359" s="12">
        <v>41</v>
      </c>
      <c r="Q359" s="26">
        <f t="shared" si="27"/>
        <v>10.103227272727274</v>
      </c>
      <c r="R359" s="12">
        <v>6614.84</v>
      </c>
      <c r="S359" s="12">
        <v>5900.84</v>
      </c>
      <c r="T359" s="12">
        <v>68.900000000000006</v>
      </c>
      <c r="U359" s="12">
        <v>61.72</v>
      </c>
      <c r="V359" s="12">
        <v>2</v>
      </c>
    </row>
    <row r="360" spans="1:22" x14ac:dyDescent="0.25">
      <c r="A360" s="12">
        <v>2024</v>
      </c>
      <c r="B360" s="12" t="s">
        <v>333</v>
      </c>
      <c r="C360" s="12" t="s">
        <v>118</v>
      </c>
      <c r="D360" s="12" t="s">
        <v>119</v>
      </c>
      <c r="E360" s="12" t="s">
        <v>120</v>
      </c>
      <c r="F360" s="12" t="s">
        <v>390</v>
      </c>
      <c r="G360" s="12">
        <v>410</v>
      </c>
      <c r="H360" s="12">
        <v>10</v>
      </c>
      <c r="I360" s="12">
        <v>4</v>
      </c>
      <c r="J360" s="12">
        <v>2</v>
      </c>
      <c r="K360" s="12">
        <v>14</v>
      </c>
      <c r="L360" s="13" t="s">
        <v>336</v>
      </c>
      <c r="M360" s="13" t="s">
        <v>30</v>
      </c>
      <c r="N360" s="12">
        <v>10.37</v>
      </c>
      <c r="O360" s="12">
        <v>13.7</v>
      </c>
      <c r="P360" s="12">
        <v>42.3</v>
      </c>
      <c r="Q360" s="26">
        <f t="shared" si="27"/>
        <v>10.169670454545454</v>
      </c>
      <c r="R360" s="12">
        <v>6658.34</v>
      </c>
      <c r="S360" s="12">
        <v>5939.64</v>
      </c>
      <c r="T360" s="12">
        <v>71.08</v>
      </c>
      <c r="U360" s="12">
        <v>50.31</v>
      </c>
      <c r="V360" s="12">
        <v>0</v>
      </c>
    </row>
    <row r="361" spans="1:22" x14ac:dyDescent="0.25">
      <c r="A361" s="12">
        <v>2024</v>
      </c>
      <c r="B361" s="12" t="s">
        <v>333</v>
      </c>
      <c r="C361" s="12" t="s">
        <v>118</v>
      </c>
      <c r="D361" s="12" t="s">
        <v>119</v>
      </c>
      <c r="E361" s="12" t="s">
        <v>120</v>
      </c>
      <c r="F361" s="12" t="s">
        <v>391</v>
      </c>
      <c r="G361" s="12">
        <v>411</v>
      </c>
      <c r="H361" s="12">
        <v>11</v>
      </c>
      <c r="I361" s="12">
        <v>4</v>
      </c>
      <c r="J361" s="12">
        <v>3</v>
      </c>
      <c r="K361" s="12">
        <v>17</v>
      </c>
      <c r="L361" s="13" t="s">
        <v>42</v>
      </c>
      <c r="M361" s="13" t="s">
        <v>30</v>
      </c>
      <c r="N361" s="12">
        <v>11.5</v>
      </c>
      <c r="O361" s="12">
        <v>14.6</v>
      </c>
      <c r="P361" s="12">
        <v>42.3</v>
      </c>
      <c r="Q361" s="26">
        <f t="shared" si="27"/>
        <v>11.160227272727273</v>
      </c>
      <c r="R361" s="12">
        <v>7306.88</v>
      </c>
      <c r="S361" s="12">
        <v>6518.18</v>
      </c>
      <c r="T361" s="12">
        <v>71.33</v>
      </c>
      <c r="U361" s="12">
        <v>60.57</v>
      </c>
      <c r="V361" s="12">
        <v>1</v>
      </c>
    </row>
    <row r="362" spans="1:22" x14ac:dyDescent="0.25">
      <c r="A362" s="12">
        <v>2024</v>
      </c>
      <c r="B362" s="12" t="s">
        <v>333</v>
      </c>
      <c r="C362" s="12" t="s">
        <v>118</v>
      </c>
      <c r="D362" s="12" t="s">
        <v>119</v>
      </c>
      <c r="E362" s="12" t="s">
        <v>120</v>
      </c>
      <c r="F362" s="12" t="s">
        <v>392</v>
      </c>
      <c r="G362" s="12">
        <v>412</v>
      </c>
      <c r="H362" s="12">
        <v>12</v>
      </c>
      <c r="I362" s="12">
        <v>4</v>
      </c>
      <c r="J362" s="12">
        <v>3</v>
      </c>
      <c r="K362" s="12">
        <v>18</v>
      </c>
      <c r="L362" s="13" t="s">
        <v>42</v>
      </c>
      <c r="M362" s="13" t="s">
        <v>53</v>
      </c>
      <c r="N362" s="12">
        <v>10.97</v>
      </c>
      <c r="O362" s="12">
        <v>14</v>
      </c>
      <c r="P362" s="12">
        <v>42.4</v>
      </c>
      <c r="Q362" s="26">
        <f t="shared" si="27"/>
        <v>10.720681818181818</v>
      </c>
      <c r="R362" s="12">
        <v>7019.1</v>
      </c>
      <c r="S362" s="12">
        <v>6261.47</v>
      </c>
      <c r="T362" s="12">
        <v>72.45</v>
      </c>
      <c r="U362" s="12">
        <v>62.54</v>
      </c>
      <c r="V362" s="12">
        <v>1</v>
      </c>
    </row>
    <row r="363" spans="1:22" x14ac:dyDescent="0.25">
      <c r="A363" s="12">
        <v>2024</v>
      </c>
      <c r="B363" s="12" t="s">
        <v>333</v>
      </c>
      <c r="C363" s="12" t="s">
        <v>118</v>
      </c>
      <c r="D363" s="12" t="s">
        <v>119</v>
      </c>
      <c r="E363" s="12" t="s">
        <v>120</v>
      </c>
      <c r="F363" s="12" t="s">
        <v>393</v>
      </c>
      <c r="G363" s="12">
        <v>413</v>
      </c>
      <c r="H363" s="12">
        <v>13</v>
      </c>
      <c r="I363" s="12">
        <v>4</v>
      </c>
      <c r="J363" s="12">
        <v>3</v>
      </c>
      <c r="K363" s="12">
        <v>4</v>
      </c>
      <c r="L363" s="13" t="s">
        <v>339</v>
      </c>
      <c r="M363" s="6" t="s">
        <v>658</v>
      </c>
      <c r="N363" s="12">
        <v>9.59</v>
      </c>
      <c r="O363" s="12">
        <v>20.9</v>
      </c>
      <c r="P363" s="12">
        <v>41.1</v>
      </c>
      <c r="Q363" s="26">
        <f t="shared" si="27"/>
        <v>8.6201022727272729</v>
      </c>
      <c r="R363" s="12">
        <v>5643.8</v>
      </c>
      <c r="S363" s="12">
        <v>5034.6099999999997</v>
      </c>
      <c r="T363" s="12">
        <v>67.95</v>
      </c>
      <c r="U363" s="12">
        <v>60.84</v>
      </c>
      <c r="V363" s="12">
        <v>2</v>
      </c>
    </row>
    <row r="364" spans="1:22" x14ac:dyDescent="0.25">
      <c r="A364" s="12">
        <v>2024</v>
      </c>
      <c r="B364" s="12" t="s">
        <v>333</v>
      </c>
      <c r="C364" s="12" t="s">
        <v>118</v>
      </c>
      <c r="D364" s="12" t="s">
        <v>119</v>
      </c>
      <c r="E364" s="12" t="s">
        <v>120</v>
      </c>
      <c r="F364" s="12" t="s">
        <v>394</v>
      </c>
      <c r="G364" s="12">
        <v>414</v>
      </c>
      <c r="H364" s="12">
        <v>14</v>
      </c>
      <c r="I364" s="12">
        <v>4</v>
      </c>
      <c r="J364" s="12">
        <v>3</v>
      </c>
      <c r="K364" s="12">
        <v>10</v>
      </c>
      <c r="L364" s="13" t="s">
        <v>27</v>
      </c>
      <c r="M364" s="6" t="s">
        <v>658</v>
      </c>
      <c r="N364" s="12">
        <v>9.7799999999999994</v>
      </c>
      <c r="O364" s="12">
        <v>14.5</v>
      </c>
      <c r="P364" s="12">
        <v>42.4</v>
      </c>
      <c r="Q364" s="26">
        <f t="shared" si="27"/>
        <v>9.5021590909090889</v>
      </c>
      <c r="R364" s="12">
        <v>6221.31</v>
      </c>
      <c r="S364" s="12">
        <v>5549.78</v>
      </c>
      <c r="T364" s="12">
        <v>73.599999999999994</v>
      </c>
      <c r="U364" s="12">
        <v>60.62</v>
      </c>
      <c r="V364" s="12">
        <v>1</v>
      </c>
    </row>
    <row r="365" spans="1:22" x14ac:dyDescent="0.25">
      <c r="A365" s="12">
        <v>2024</v>
      </c>
      <c r="B365" s="12" t="s">
        <v>333</v>
      </c>
      <c r="C365" s="12" t="s">
        <v>118</v>
      </c>
      <c r="D365" s="12" t="s">
        <v>119</v>
      </c>
      <c r="E365" s="12" t="s">
        <v>120</v>
      </c>
      <c r="F365" s="12" t="s">
        <v>395</v>
      </c>
      <c r="G365" s="12">
        <v>415</v>
      </c>
      <c r="H365" s="12">
        <v>15</v>
      </c>
      <c r="I365" s="12">
        <v>4</v>
      </c>
      <c r="J365" s="12">
        <v>3</v>
      </c>
      <c r="K365" s="12">
        <v>3</v>
      </c>
      <c r="L365" s="13" t="s">
        <v>100</v>
      </c>
      <c r="M365" s="13" t="s">
        <v>53</v>
      </c>
      <c r="N365" s="12">
        <v>10.59</v>
      </c>
      <c r="O365" s="12">
        <v>13.6</v>
      </c>
      <c r="P365" s="12">
        <v>42.7</v>
      </c>
      <c r="Q365" s="26">
        <f t="shared" si="27"/>
        <v>10.397454545454545</v>
      </c>
      <c r="R365" s="12">
        <v>6807.48</v>
      </c>
      <c r="S365" s="12">
        <v>6072.68</v>
      </c>
      <c r="T365" s="12">
        <v>70</v>
      </c>
      <c r="U365" s="12">
        <v>49.37</v>
      </c>
      <c r="V365" s="12">
        <v>1</v>
      </c>
    </row>
    <row r="366" spans="1:22" x14ac:dyDescent="0.25">
      <c r="A366" s="12">
        <v>2024</v>
      </c>
      <c r="B366" s="12" t="s">
        <v>396</v>
      </c>
      <c r="C366" s="12" t="s">
        <v>202</v>
      </c>
      <c r="D366" s="12" t="s">
        <v>203</v>
      </c>
      <c r="E366" s="12" t="s">
        <v>204</v>
      </c>
      <c r="F366" s="12" t="s">
        <v>397</v>
      </c>
      <c r="G366" s="12">
        <v>101</v>
      </c>
      <c r="H366" s="12">
        <v>1</v>
      </c>
      <c r="I366" s="12">
        <v>1</v>
      </c>
      <c r="J366" s="12">
        <v>1</v>
      </c>
      <c r="K366" s="12">
        <v>3</v>
      </c>
      <c r="L366" s="13" t="s">
        <v>100</v>
      </c>
      <c r="M366" s="13" t="s">
        <v>53</v>
      </c>
      <c r="N366" s="12">
        <v>5.86</v>
      </c>
      <c r="O366" s="12">
        <v>14.5</v>
      </c>
      <c r="P366" s="12">
        <v>32.9</v>
      </c>
      <c r="Q366" s="26">
        <f t="shared" si="27"/>
        <v>5.6935227272727271</v>
      </c>
      <c r="R366" s="12">
        <v>3727.69</v>
      </c>
      <c r="S366" s="12">
        <v>3325.33</v>
      </c>
      <c r="T366" s="12">
        <v>61.04</v>
      </c>
      <c r="U366" s="12">
        <v>34.700000000000003</v>
      </c>
      <c r="V366" s="12">
        <v>1</v>
      </c>
    </row>
    <row r="367" spans="1:22" x14ac:dyDescent="0.25">
      <c r="A367" s="12">
        <v>2024</v>
      </c>
      <c r="B367" s="12" t="s">
        <v>396</v>
      </c>
      <c r="C367" s="12" t="s">
        <v>202</v>
      </c>
      <c r="D367" s="12" t="s">
        <v>203</v>
      </c>
      <c r="E367" s="12" t="s">
        <v>204</v>
      </c>
      <c r="F367" s="12" t="s">
        <v>398</v>
      </c>
      <c r="G367" s="12">
        <v>102</v>
      </c>
      <c r="H367" s="12">
        <v>2</v>
      </c>
      <c r="I367" s="12">
        <v>1</v>
      </c>
      <c r="J367" s="12">
        <v>1</v>
      </c>
      <c r="K367" s="12">
        <v>5</v>
      </c>
      <c r="L367" s="13" t="s">
        <v>339</v>
      </c>
      <c r="M367" s="13" t="s">
        <v>30</v>
      </c>
      <c r="N367" s="12">
        <v>6.96</v>
      </c>
      <c r="O367" s="12">
        <v>16</v>
      </c>
      <c r="P367" s="12">
        <v>42.9</v>
      </c>
      <c r="Q367" s="26">
        <f t="shared" si="27"/>
        <v>6.6436363636363636</v>
      </c>
      <c r="R367" s="12">
        <v>4349.76</v>
      </c>
      <c r="S367" s="12">
        <v>3880.25</v>
      </c>
      <c r="T367" s="12">
        <v>65.25</v>
      </c>
      <c r="U367" s="12">
        <v>53.82</v>
      </c>
      <c r="V367" s="12">
        <v>1</v>
      </c>
    </row>
    <row r="368" spans="1:22" x14ac:dyDescent="0.25">
      <c r="A368" s="12">
        <v>2024</v>
      </c>
      <c r="B368" s="12" t="s">
        <v>396</v>
      </c>
      <c r="C368" s="12" t="s">
        <v>202</v>
      </c>
      <c r="D368" s="12" t="s">
        <v>203</v>
      </c>
      <c r="E368" s="12" t="s">
        <v>204</v>
      </c>
      <c r="F368" s="12" t="s">
        <v>399</v>
      </c>
      <c r="G368" s="12">
        <v>103</v>
      </c>
      <c r="H368" s="12">
        <v>3</v>
      </c>
      <c r="I368" s="12">
        <v>1</v>
      </c>
      <c r="J368" s="12">
        <v>1</v>
      </c>
      <c r="K368" s="12">
        <v>11</v>
      </c>
      <c r="L368" s="13" t="s">
        <v>27</v>
      </c>
      <c r="M368" s="13" t="s">
        <v>30</v>
      </c>
      <c r="N368" s="12">
        <v>6.31</v>
      </c>
      <c r="O368" s="12">
        <v>14.4</v>
      </c>
      <c r="P368" s="12">
        <v>37.299999999999997</v>
      </c>
      <c r="Q368" s="26">
        <f t="shared" si="27"/>
        <v>6.1379090909090905</v>
      </c>
      <c r="R368" s="12">
        <v>4018.65</v>
      </c>
      <c r="S368" s="12">
        <v>3584.88</v>
      </c>
      <c r="T368" s="12">
        <v>66.98</v>
      </c>
      <c r="U368" s="12">
        <v>46.54</v>
      </c>
      <c r="V368" s="12">
        <v>1</v>
      </c>
    </row>
    <row r="369" spans="1:22" x14ac:dyDescent="0.25">
      <c r="A369" s="12">
        <v>2024</v>
      </c>
      <c r="B369" s="12" t="s">
        <v>396</v>
      </c>
      <c r="C369" s="12" t="s">
        <v>202</v>
      </c>
      <c r="D369" s="12" t="s">
        <v>203</v>
      </c>
      <c r="E369" s="12" t="s">
        <v>204</v>
      </c>
      <c r="F369" s="12" t="s">
        <v>400</v>
      </c>
      <c r="G369" s="12">
        <v>104</v>
      </c>
      <c r="H369" s="12">
        <v>4</v>
      </c>
      <c r="I369" s="12">
        <v>1</v>
      </c>
      <c r="J369" s="12">
        <v>1</v>
      </c>
      <c r="K369" s="12">
        <v>9</v>
      </c>
      <c r="L369" s="13" t="s">
        <v>69</v>
      </c>
      <c r="M369" s="13" t="s">
        <v>53</v>
      </c>
      <c r="N369" s="12">
        <v>5.6</v>
      </c>
      <c r="O369" s="12">
        <v>14.2</v>
      </c>
      <c r="P369" s="12">
        <v>36.700000000000003</v>
      </c>
      <c r="Q369" s="26">
        <f t="shared" si="27"/>
        <v>5.4599999999999991</v>
      </c>
      <c r="R369" s="12">
        <v>3574.8</v>
      </c>
      <c r="S369" s="12">
        <v>3188.94</v>
      </c>
      <c r="T369" s="12">
        <v>63.57</v>
      </c>
      <c r="U369" s="12">
        <v>45.89</v>
      </c>
      <c r="V369" s="12">
        <v>0</v>
      </c>
    </row>
    <row r="370" spans="1:22" x14ac:dyDescent="0.25">
      <c r="A370" s="12">
        <v>2024</v>
      </c>
      <c r="B370" s="12" t="s">
        <v>396</v>
      </c>
      <c r="C370" s="12" t="s">
        <v>202</v>
      </c>
      <c r="D370" s="12" t="s">
        <v>203</v>
      </c>
      <c r="E370" s="12" t="s">
        <v>204</v>
      </c>
      <c r="F370" s="12" t="s">
        <v>401</v>
      </c>
      <c r="G370" s="12">
        <v>105</v>
      </c>
      <c r="H370" s="12">
        <v>5</v>
      </c>
      <c r="I370" s="12">
        <v>1</v>
      </c>
      <c r="J370" s="12">
        <v>2</v>
      </c>
      <c r="K370" s="12">
        <v>9</v>
      </c>
      <c r="L370" s="13" t="s">
        <v>69</v>
      </c>
      <c r="M370" s="13" t="s">
        <v>53</v>
      </c>
      <c r="N370" s="12">
        <v>6.53</v>
      </c>
      <c r="O370" s="12">
        <v>13.5</v>
      </c>
      <c r="P370" s="12">
        <v>32.1</v>
      </c>
      <c r="Q370" s="26">
        <f t="shared" si="27"/>
        <v>6.418693181818182</v>
      </c>
      <c r="R370" s="12">
        <v>4202.4799999999996</v>
      </c>
      <c r="S370" s="12">
        <v>3748.87</v>
      </c>
      <c r="T370" s="12">
        <v>63.1</v>
      </c>
      <c r="U370" s="12">
        <v>43.05</v>
      </c>
      <c r="V370" s="12">
        <v>1</v>
      </c>
    </row>
    <row r="371" spans="1:22" x14ac:dyDescent="0.25">
      <c r="A371" s="12">
        <v>2024</v>
      </c>
      <c r="B371" s="12" t="s">
        <v>396</v>
      </c>
      <c r="C371" s="12" t="s">
        <v>202</v>
      </c>
      <c r="D371" s="12" t="s">
        <v>203</v>
      </c>
      <c r="E371" s="12" t="s">
        <v>204</v>
      </c>
      <c r="F371" s="12" t="s">
        <v>402</v>
      </c>
      <c r="G371" s="12">
        <v>106</v>
      </c>
      <c r="H371" s="12">
        <v>6</v>
      </c>
      <c r="I371" s="12">
        <v>1</v>
      </c>
      <c r="J371" s="12">
        <v>2</v>
      </c>
      <c r="K371" s="12">
        <v>13</v>
      </c>
      <c r="L371" s="13" t="s">
        <v>336</v>
      </c>
      <c r="M371" s="6" t="s">
        <v>658</v>
      </c>
      <c r="N371" s="12">
        <v>3.43</v>
      </c>
      <c r="O371" s="12">
        <v>12.9</v>
      </c>
      <c r="P371" s="12">
        <v>27.1</v>
      </c>
      <c r="Q371" s="26">
        <f t="shared" ref="Q371:Q434" si="28">N371*(1-O371/100)/(1-0.12)</f>
        <v>3.3949204545454545</v>
      </c>
      <c r="R371" s="12">
        <v>2222.7399999999998</v>
      </c>
      <c r="S371" s="12">
        <v>1982.82</v>
      </c>
      <c r="T371" s="12">
        <v>56.92</v>
      </c>
      <c r="U371" s="12">
        <v>32.93</v>
      </c>
      <c r="V371" s="12">
        <v>1</v>
      </c>
    </row>
    <row r="372" spans="1:22" x14ac:dyDescent="0.25">
      <c r="A372" s="12">
        <v>2024</v>
      </c>
      <c r="B372" s="12" t="s">
        <v>396</v>
      </c>
      <c r="C372" s="12" t="s">
        <v>202</v>
      </c>
      <c r="D372" s="12" t="s">
        <v>203</v>
      </c>
      <c r="E372" s="12" t="s">
        <v>204</v>
      </c>
      <c r="F372" s="12" t="s">
        <v>403</v>
      </c>
      <c r="G372" s="12">
        <v>107</v>
      </c>
      <c r="H372" s="12">
        <v>7</v>
      </c>
      <c r="I372" s="12">
        <v>1</v>
      </c>
      <c r="J372" s="12">
        <v>2</v>
      </c>
      <c r="K372" s="12">
        <v>2</v>
      </c>
      <c r="L372" s="13" t="s">
        <v>100</v>
      </c>
      <c r="M372" s="13" t="s">
        <v>30</v>
      </c>
      <c r="N372" s="12">
        <v>6.92</v>
      </c>
      <c r="O372" s="12">
        <v>12.7</v>
      </c>
      <c r="P372" s="12">
        <v>29.8</v>
      </c>
      <c r="Q372" s="26">
        <f t="shared" si="28"/>
        <v>6.8649545454545446</v>
      </c>
      <c r="R372" s="12">
        <v>4494.66</v>
      </c>
      <c r="S372" s="12">
        <v>4009.51</v>
      </c>
      <c r="T372" s="12">
        <v>59.57</v>
      </c>
      <c r="U372" s="12">
        <v>26.91</v>
      </c>
      <c r="V372" s="12">
        <v>2</v>
      </c>
    </row>
    <row r="373" spans="1:22" x14ac:dyDescent="0.25">
      <c r="A373" s="12">
        <v>2024</v>
      </c>
      <c r="B373" s="12" t="s">
        <v>396</v>
      </c>
      <c r="C373" s="12" t="s">
        <v>202</v>
      </c>
      <c r="D373" s="12" t="s">
        <v>203</v>
      </c>
      <c r="E373" s="12" t="s">
        <v>204</v>
      </c>
      <c r="F373" s="12" t="s">
        <v>404</v>
      </c>
      <c r="G373" s="12">
        <v>108</v>
      </c>
      <c r="H373" s="12">
        <v>8</v>
      </c>
      <c r="I373" s="12">
        <v>1</v>
      </c>
      <c r="J373" s="12">
        <v>3</v>
      </c>
      <c r="K373" s="12">
        <v>13</v>
      </c>
      <c r="L373" s="13" t="s">
        <v>336</v>
      </c>
      <c r="M373" s="6" t="s">
        <v>658</v>
      </c>
      <c r="N373" s="12">
        <v>5.03</v>
      </c>
      <c r="O373" s="12">
        <v>12.9</v>
      </c>
      <c r="P373" s="12">
        <v>32.299999999999997</v>
      </c>
      <c r="Q373" s="26">
        <f t="shared" si="28"/>
        <v>4.9785568181818185</v>
      </c>
      <c r="R373" s="12">
        <v>3259.59</v>
      </c>
      <c r="S373" s="12">
        <v>2907.75</v>
      </c>
      <c r="T373" s="12">
        <v>59.72</v>
      </c>
      <c r="U373" s="12">
        <v>37.36</v>
      </c>
      <c r="V373" s="12">
        <v>1</v>
      </c>
    </row>
    <row r="374" spans="1:22" x14ac:dyDescent="0.25">
      <c r="A374" s="12">
        <v>2024</v>
      </c>
      <c r="B374" s="12" t="s">
        <v>396</v>
      </c>
      <c r="C374" s="12" t="s">
        <v>202</v>
      </c>
      <c r="D374" s="12" t="s">
        <v>203</v>
      </c>
      <c r="E374" s="12" t="s">
        <v>204</v>
      </c>
      <c r="F374" s="12" t="s">
        <v>405</v>
      </c>
      <c r="G374" s="12">
        <v>109</v>
      </c>
      <c r="H374" s="12">
        <v>9</v>
      </c>
      <c r="I374" s="12">
        <v>1</v>
      </c>
      <c r="J374" s="12">
        <v>3</v>
      </c>
      <c r="K374" s="12">
        <v>19</v>
      </c>
      <c r="L374" s="13" t="s">
        <v>113</v>
      </c>
      <c r="M374" s="6" t="s">
        <v>658</v>
      </c>
      <c r="N374" s="12">
        <v>7.24</v>
      </c>
      <c r="O374" s="12">
        <v>13.2</v>
      </c>
      <c r="P374" s="12">
        <v>32.5</v>
      </c>
      <c r="Q374" s="26">
        <f t="shared" si="28"/>
        <v>7.1412727272727272</v>
      </c>
      <c r="R374" s="12">
        <v>4675.57</v>
      </c>
      <c r="S374" s="12">
        <v>4170.8900000000003</v>
      </c>
      <c r="T374" s="12">
        <v>59.74</v>
      </c>
      <c r="U374" s="12">
        <v>32.65</v>
      </c>
      <c r="V374" s="12">
        <v>1</v>
      </c>
    </row>
    <row r="375" spans="1:22" x14ac:dyDescent="0.25">
      <c r="A375" s="12">
        <v>2024</v>
      </c>
      <c r="B375" s="12" t="s">
        <v>396</v>
      </c>
      <c r="C375" s="12" t="s">
        <v>202</v>
      </c>
      <c r="D375" s="12" t="s">
        <v>203</v>
      </c>
      <c r="E375" s="12" t="s">
        <v>204</v>
      </c>
      <c r="F375" s="12" t="s">
        <v>406</v>
      </c>
      <c r="G375" s="12">
        <v>110</v>
      </c>
      <c r="H375" s="12">
        <v>10</v>
      </c>
      <c r="I375" s="12">
        <v>1</v>
      </c>
      <c r="J375" s="12">
        <v>3</v>
      </c>
      <c r="K375" s="12">
        <v>1</v>
      </c>
      <c r="L375" s="13" t="s">
        <v>100</v>
      </c>
      <c r="M375" s="6" t="s">
        <v>658</v>
      </c>
      <c r="N375" s="12">
        <v>6.42</v>
      </c>
      <c r="O375" s="12">
        <v>13.4</v>
      </c>
      <c r="P375" s="12">
        <v>36.9</v>
      </c>
      <c r="Q375" s="26">
        <f t="shared" si="28"/>
        <v>6.3178636363636356</v>
      </c>
      <c r="R375" s="12">
        <v>4136.47</v>
      </c>
      <c r="S375" s="12">
        <v>3689.98</v>
      </c>
      <c r="T375" s="12">
        <v>60.23</v>
      </c>
      <c r="U375" s="12">
        <v>30.6</v>
      </c>
      <c r="V375" s="12">
        <v>1</v>
      </c>
    </row>
    <row r="376" spans="1:22" x14ac:dyDescent="0.25">
      <c r="A376" s="12">
        <v>2024</v>
      </c>
      <c r="B376" s="12" t="s">
        <v>396</v>
      </c>
      <c r="C376" s="12" t="s">
        <v>202</v>
      </c>
      <c r="D376" s="12" t="s">
        <v>203</v>
      </c>
      <c r="E376" s="12" t="s">
        <v>204</v>
      </c>
      <c r="F376" s="12" t="s">
        <v>407</v>
      </c>
      <c r="G376" s="12">
        <v>201</v>
      </c>
      <c r="H376" s="12">
        <v>1</v>
      </c>
      <c r="I376" s="12">
        <v>2</v>
      </c>
      <c r="J376" s="12">
        <v>1</v>
      </c>
      <c r="K376" s="12">
        <v>18</v>
      </c>
      <c r="L376" s="13" t="s">
        <v>42</v>
      </c>
      <c r="M376" s="13" t="s">
        <v>53</v>
      </c>
      <c r="N376" s="12">
        <v>7.17</v>
      </c>
      <c r="O376" s="12">
        <v>15.3</v>
      </c>
      <c r="P376" s="12">
        <v>37.799999999999997</v>
      </c>
      <c r="Q376" s="26">
        <f t="shared" si="28"/>
        <v>6.9011249999999995</v>
      </c>
      <c r="R376" s="12">
        <v>4518.34</v>
      </c>
      <c r="S376" s="12">
        <v>4030.64</v>
      </c>
      <c r="T376" s="12">
        <v>65.819999999999993</v>
      </c>
      <c r="U376" s="12">
        <v>56.18</v>
      </c>
      <c r="V376" s="12">
        <v>0</v>
      </c>
    </row>
    <row r="377" spans="1:22" x14ac:dyDescent="0.25">
      <c r="A377" s="12">
        <v>2024</v>
      </c>
      <c r="B377" s="12" t="s">
        <v>396</v>
      </c>
      <c r="C377" s="12" t="s">
        <v>202</v>
      </c>
      <c r="D377" s="12" t="s">
        <v>203</v>
      </c>
      <c r="E377" s="12" t="s">
        <v>204</v>
      </c>
      <c r="F377" s="12" t="s">
        <v>408</v>
      </c>
      <c r="G377" s="12">
        <v>202</v>
      </c>
      <c r="H377" s="12">
        <v>2</v>
      </c>
      <c r="I377" s="12">
        <v>2</v>
      </c>
      <c r="J377" s="12">
        <v>1</v>
      </c>
      <c r="K377" s="12">
        <v>15</v>
      </c>
      <c r="L377" s="13" t="s">
        <v>336</v>
      </c>
      <c r="M377" s="13" t="s">
        <v>53</v>
      </c>
      <c r="N377" s="12">
        <v>3.85</v>
      </c>
      <c r="O377" s="12">
        <v>14.1</v>
      </c>
      <c r="P377" s="12">
        <v>32.200000000000003</v>
      </c>
      <c r="Q377" s="26">
        <f t="shared" si="28"/>
        <v>3.7581250000000002</v>
      </c>
      <c r="R377" s="12">
        <v>2460.54</v>
      </c>
      <c r="S377" s="12">
        <v>2194.9499999999998</v>
      </c>
      <c r="T377" s="12">
        <v>60.54</v>
      </c>
      <c r="U377" s="12">
        <v>42.55</v>
      </c>
      <c r="V377" s="12">
        <v>1</v>
      </c>
    </row>
    <row r="378" spans="1:22" x14ac:dyDescent="0.25">
      <c r="A378" s="12">
        <v>2024</v>
      </c>
      <c r="B378" s="12" t="s">
        <v>396</v>
      </c>
      <c r="C378" s="12" t="s">
        <v>202</v>
      </c>
      <c r="D378" s="12" t="s">
        <v>203</v>
      </c>
      <c r="E378" s="12" t="s">
        <v>204</v>
      </c>
      <c r="F378" s="12" t="s">
        <v>409</v>
      </c>
      <c r="G378" s="12">
        <v>203</v>
      </c>
      <c r="H378" s="12">
        <v>3</v>
      </c>
      <c r="I378" s="12">
        <v>2</v>
      </c>
      <c r="J378" s="12">
        <v>1</v>
      </c>
      <c r="K378" s="12">
        <v>12</v>
      </c>
      <c r="L378" s="13" t="s">
        <v>27</v>
      </c>
      <c r="M378" s="13" t="s">
        <v>53</v>
      </c>
      <c r="N378" s="12">
        <v>6.74</v>
      </c>
      <c r="O378" s="12">
        <v>15.1</v>
      </c>
      <c r="P378" s="12">
        <v>40.299999999999997</v>
      </c>
      <c r="Q378" s="26">
        <f t="shared" si="28"/>
        <v>6.502568181818182</v>
      </c>
      <c r="R378" s="12">
        <v>4257.3999999999996</v>
      </c>
      <c r="S378" s="12">
        <v>3797.86</v>
      </c>
      <c r="T378" s="12">
        <v>68.61</v>
      </c>
      <c r="U378" s="12">
        <v>50.38</v>
      </c>
      <c r="V378" s="12">
        <v>1</v>
      </c>
    </row>
    <row r="379" spans="1:22" x14ac:dyDescent="0.25">
      <c r="A379" s="12">
        <v>2024</v>
      </c>
      <c r="B379" s="12" t="s">
        <v>396</v>
      </c>
      <c r="C379" s="12" t="s">
        <v>202</v>
      </c>
      <c r="D379" s="12" t="s">
        <v>203</v>
      </c>
      <c r="E379" s="12" t="s">
        <v>204</v>
      </c>
      <c r="F379" s="12" t="s">
        <v>410</v>
      </c>
      <c r="G379" s="12">
        <v>204</v>
      </c>
      <c r="H379" s="12">
        <v>4</v>
      </c>
      <c r="I379" s="12">
        <v>2</v>
      </c>
      <c r="J379" s="12">
        <v>1</v>
      </c>
      <c r="K379" s="12">
        <v>8</v>
      </c>
      <c r="L379" s="13" t="s">
        <v>69</v>
      </c>
      <c r="M379" s="13" t="s">
        <v>30</v>
      </c>
      <c r="N379" s="12">
        <v>7.63</v>
      </c>
      <c r="O379" s="12">
        <v>14.6</v>
      </c>
      <c r="P379" s="12">
        <v>39.1</v>
      </c>
      <c r="Q379" s="26">
        <f t="shared" si="28"/>
        <v>7.4045681818181821</v>
      </c>
      <c r="R379" s="12">
        <v>4847.96</v>
      </c>
      <c r="S379" s="12">
        <v>4324.67</v>
      </c>
      <c r="T379" s="12">
        <v>64.58</v>
      </c>
      <c r="U379" s="12">
        <v>43.83</v>
      </c>
      <c r="V379" s="12">
        <v>1</v>
      </c>
    </row>
    <row r="380" spans="1:22" x14ac:dyDescent="0.25">
      <c r="A380" s="12">
        <v>2024</v>
      </c>
      <c r="B380" s="12" t="s">
        <v>396</v>
      </c>
      <c r="C380" s="12" t="s">
        <v>202</v>
      </c>
      <c r="D380" s="12" t="s">
        <v>203</v>
      </c>
      <c r="E380" s="12" t="s">
        <v>204</v>
      </c>
      <c r="F380" s="12" t="s">
        <v>411</v>
      </c>
      <c r="G380" s="12">
        <v>205</v>
      </c>
      <c r="H380" s="12">
        <v>5</v>
      </c>
      <c r="I380" s="12">
        <v>2</v>
      </c>
      <c r="J380" s="12">
        <v>2</v>
      </c>
      <c r="K380" s="12">
        <v>8</v>
      </c>
      <c r="L380" s="13" t="s">
        <v>69</v>
      </c>
      <c r="M380" s="13" t="s">
        <v>30</v>
      </c>
      <c r="N380" s="12">
        <v>8.5299999999999994</v>
      </c>
      <c r="O380" s="12">
        <v>14.5</v>
      </c>
      <c r="P380" s="12">
        <v>38</v>
      </c>
      <c r="Q380" s="26">
        <f t="shared" si="28"/>
        <v>8.287670454545454</v>
      </c>
      <c r="R380" s="12">
        <v>5426.15</v>
      </c>
      <c r="S380" s="12">
        <v>4840.45</v>
      </c>
      <c r="T380" s="12">
        <v>63.87</v>
      </c>
      <c r="U380" s="12">
        <v>41.14</v>
      </c>
      <c r="V380" s="12">
        <v>1</v>
      </c>
    </row>
    <row r="381" spans="1:22" x14ac:dyDescent="0.25">
      <c r="A381" s="12">
        <v>2024</v>
      </c>
      <c r="B381" s="12" t="s">
        <v>396</v>
      </c>
      <c r="C381" s="12" t="s">
        <v>202</v>
      </c>
      <c r="D381" s="12" t="s">
        <v>203</v>
      </c>
      <c r="E381" s="12" t="s">
        <v>204</v>
      </c>
      <c r="F381" s="12" t="s">
        <v>412</v>
      </c>
      <c r="G381" s="12">
        <v>206</v>
      </c>
      <c r="H381" s="12">
        <v>6</v>
      </c>
      <c r="I381" s="12">
        <v>2</v>
      </c>
      <c r="J381" s="12">
        <v>2</v>
      </c>
      <c r="K381" s="12">
        <v>15</v>
      </c>
      <c r="L381" s="13" t="s">
        <v>336</v>
      </c>
      <c r="M381" s="13" t="s">
        <v>53</v>
      </c>
      <c r="N381" s="12">
        <v>5.08</v>
      </c>
      <c r="O381" s="12">
        <v>13.6</v>
      </c>
      <c r="P381" s="12">
        <v>35.700000000000003</v>
      </c>
      <c r="Q381" s="26">
        <f t="shared" si="28"/>
        <v>4.9876363636363639</v>
      </c>
      <c r="R381" s="12">
        <v>3265.53</v>
      </c>
      <c r="S381" s="12">
        <v>2913.05</v>
      </c>
      <c r="T381" s="12">
        <v>63.21</v>
      </c>
      <c r="U381" s="12">
        <v>46.83</v>
      </c>
      <c r="V381" s="12">
        <v>0</v>
      </c>
    </row>
    <row r="382" spans="1:22" x14ac:dyDescent="0.25">
      <c r="A382" s="12">
        <v>2024</v>
      </c>
      <c r="B382" s="12" t="s">
        <v>396</v>
      </c>
      <c r="C382" s="12" t="s">
        <v>202</v>
      </c>
      <c r="D382" s="12" t="s">
        <v>203</v>
      </c>
      <c r="E382" s="12" t="s">
        <v>204</v>
      </c>
      <c r="F382" s="12" t="s">
        <v>413</v>
      </c>
      <c r="G382" s="12">
        <v>207</v>
      </c>
      <c r="H382" s="12">
        <v>7</v>
      </c>
      <c r="I382" s="12">
        <v>2</v>
      </c>
      <c r="J382" s="12">
        <v>2</v>
      </c>
      <c r="K382" s="12">
        <v>6</v>
      </c>
      <c r="L382" s="13" t="s">
        <v>339</v>
      </c>
      <c r="M382" s="13" t="s">
        <v>53</v>
      </c>
      <c r="N382" s="12">
        <v>8.15</v>
      </c>
      <c r="O382" s="12">
        <v>15.6</v>
      </c>
      <c r="P382" s="12">
        <v>42.5</v>
      </c>
      <c r="Q382" s="26">
        <f t="shared" si="28"/>
        <v>7.8165909090909098</v>
      </c>
      <c r="R382" s="12">
        <v>5117.72</v>
      </c>
      <c r="S382" s="12">
        <v>4565.32</v>
      </c>
      <c r="T382" s="12">
        <v>65.25</v>
      </c>
      <c r="U382" s="12">
        <v>54.93</v>
      </c>
      <c r="V382" s="12">
        <v>1</v>
      </c>
    </row>
    <row r="383" spans="1:22" x14ac:dyDescent="0.25">
      <c r="A383" s="12">
        <v>2024</v>
      </c>
      <c r="B383" s="12" t="s">
        <v>396</v>
      </c>
      <c r="C383" s="12" t="s">
        <v>202</v>
      </c>
      <c r="D383" s="12" t="s">
        <v>203</v>
      </c>
      <c r="E383" s="12" t="s">
        <v>204</v>
      </c>
      <c r="F383" s="12" t="s">
        <v>414</v>
      </c>
      <c r="G383" s="12">
        <v>208</v>
      </c>
      <c r="H383" s="12">
        <v>8</v>
      </c>
      <c r="I383" s="12">
        <v>2</v>
      </c>
      <c r="J383" s="12">
        <v>3</v>
      </c>
      <c r="K383" s="12">
        <v>11</v>
      </c>
      <c r="L383" s="13" t="s">
        <v>27</v>
      </c>
      <c r="M383" s="13" t="s">
        <v>30</v>
      </c>
      <c r="N383" s="12">
        <v>8.15</v>
      </c>
      <c r="O383" s="12">
        <v>14.8</v>
      </c>
      <c r="P383" s="12">
        <v>43.4</v>
      </c>
      <c r="Q383" s="26">
        <f t="shared" si="28"/>
        <v>7.890681818181819</v>
      </c>
      <c r="R383" s="12">
        <v>5166.2299999999996</v>
      </c>
      <c r="S383" s="12">
        <v>4608.59</v>
      </c>
      <c r="T383" s="12">
        <v>68.8</v>
      </c>
      <c r="U383" s="12">
        <v>49.52</v>
      </c>
      <c r="V383" s="12">
        <v>1</v>
      </c>
    </row>
    <row r="384" spans="1:22" x14ac:dyDescent="0.25">
      <c r="A384" s="12">
        <v>2024</v>
      </c>
      <c r="B384" s="12" t="s">
        <v>396</v>
      </c>
      <c r="C384" s="12" t="s">
        <v>202</v>
      </c>
      <c r="D384" s="12" t="s">
        <v>203</v>
      </c>
      <c r="E384" s="12" t="s">
        <v>204</v>
      </c>
      <c r="F384" s="12" t="s">
        <v>415</v>
      </c>
      <c r="G384" s="12">
        <v>209</v>
      </c>
      <c r="H384" s="12">
        <v>9</v>
      </c>
      <c r="I384" s="12">
        <v>2</v>
      </c>
      <c r="J384" s="12">
        <v>3</v>
      </c>
      <c r="K384" s="12">
        <v>4</v>
      </c>
      <c r="L384" s="13" t="s">
        <v>339</v>
      </c>
      <c r="M384" s="6" t="s">
        <v>658</v>
      </c>
      <c r="N384" s="12">
        <v>8.8800000000000008</v>
      </c>
      <c r="O384" s="12">
        <v>14.7</v>
      </c>
      <c r="P384" s="12">
        <v>43</v>
      </c>
      <c r="Q384" s="26">
        <f t="shared" si="28"/>
        <v>8.6075454545454555</v>
      </c>
      <c r="R384" s="12">
        <v>5635.58</v>
      </c>
      <c r="S384" s="12">
        <v>5027.28</v>
      </c>
      <c r="T384" s="12">
        <v>65.66</v>
      </c>
      <c r="U384" s="12">
        <v>52.88</v>
      </c>
      <c r="V384" s="12">
        <v>1</v>
      </c>
    </row>
    <row r="385" spans="1:22" x14ac:dyDescent="0.25">
      <c r="A385" s="12">
        <v>2024</v>
      </c>
      <c r="B385" s="12" t="s">
        <v>396</v>
      </c>
      <c r="C385" s="12" t="s">
        <v>202</v>
      </c>
      <c r="D385" s="12" t="s">
        <v>203</v>
      </c>
      <c r="E385" s="12" t="s">
        <v>204</v>
      </c>
      <c r="F385" s="12" t="s">
        <v>416</v>
      </c>
      <c r="G385" s="12">
        <v>210</v>
      </c>
      <c r="H385" s="12">
        <v>10</v>
      </c>
      <c r="I385" s="12">
        <v>2</v>
      </c>
      <c r="J385" s="12">
        <v>3</v>
      </c>
      <c r="K385" s="12">
        <v>6</v>
      </c>
      <c r="L385" s="13" t="s">
        <v>339</v>
      </c>
      <c r="M385" s="13" t="s">
        <v>53</v>
      </c>
      <c r="N385" s="12">
        <v>9.1199999999999992</v>
      </c>
      <c r="O385" s="12">
        <v>15.2</v>
      </c>
      <c r="P385" s="12">
        <v>44.5</v>
      </c>
      <c r="Q385" s="26">
        <f t="shared" si="28"/>
        <v>8.7883636363636359</v>
      </c>
      <c r="R385" s="12">
        <v>5753.96</v>
      </c>
      <c r="S385" s="12">
        <v>5132.8900000000003</v>
      </c>
      <c r="T385" s="12">
        <v>65.64</v>
      </c>
      <c r="U385" s="12">
        <v>54.6</v>
      </c>
      <c r="V385" s="12">
        <v>1</v>
      </c>
    </row>
    <row r="386" spans="1:22" x14ac:dyDescent="0.25">
      <c r="A386" s="12">
        <v>2024</v>
      </c>
      <c r="B386" s="12" t="s">
        <v>396</v>
      </c>
      <c r="C386" s="12" t="s">
        <v>202</v>
      </c>
      <c r="D386" s="12" t="s">
        <v>203</v>
      </c>
      <c r="E386" s="12" t="s">
        <v>204</v>
      </c>
      <c r="F386" s="12" t="s">
        <v>417</v>
      </c>
      <c r="G386" s="12">
        <v>301</v>
      </c>
      <c r="H386" s="12">
        <v>1</v>
      </c>
      <c r="I386" s="12">
        <v>3</v>
      </c>
      <c r="J386" s="12">
        <v>1</v>
      </c>
      <c r="K386" s="12">
        <v>17</v>
      </c>
      <c r="L386" s="13" t="s">
        <v>42</v>
      </c>
      <c r="M386" s="13" t="s">
        <v>30</v>
      </c>
      <c r="N386" s="12">
        <v>7.99</v>
      </c>
      <c r="O386" s="12">
        <v>15.2</v>
      </c>
      <c r="P386" s="12">
        <v>38.799999999999997</v>
      </c>
      <c r="Q386" s="26">
        <f t="shared" si="28"/>
        <v>7.6994545454545458</v>
      </c>
      <c r="R386" s="12">
        <v>5041.03</v>
      </c>
      <c r="S386" s="12">
        <v>4496.8999999999996</v>
      </c>
      <c r="T386" s="12">
        <v>67.25</v>
      </c>
      <c r="U386" s="12">
        <v>56.92</v>
      </c>
      <c r="V386" s="12">
        <v>1</v>
      </c>
    </row>
    <row r="387" spans="1:22" x14ac:dyDescent="0.25">
      <c r="A387" s="12">
        <v>2024</v>
      </c>
      <c r="B387" s="12" t="s">
        <v>396</v>
      </c>
      <c r="C387" s="12" t="s">
        <v>202</v>
      </c>
      <c r="D387" s="12" t="s">
        <v>203</v>
      </c>
      <c r="E387" s="12" t="s">
        <v>204</v>
      </c>
      <c r="F387" s="12" t="s">
        <v>418</v>
      </c>
      <c r="G387" s="12">
        <v>302</v>
      </c>
      <c r="H387" s="12">
        <v>2</v>
      </c>
      <c r="I387" s="12">
        <v>3</v>
      </c>
      <c r="J387" s="12">
        <v>1</v>
      </c>
      <c r="K387" s="12">
        <v>16</v>
      </c>
      <c r="L387" s="13" t="s">
        <v>42</v>
      </c>
      <c r="M387" s="6" t="s">
        <v>658</v>
      </c>
      <c r="N387" s="12">
        <v>7.54</v>
      </c>
      <c r="O387" s="12">
        <v>14.8</v>
      </c>
      <c r="P387" s="12">
        <v>39.200000000000003</v>
      </c>
      <c r="Q387" s="26">
        <f t="shared" si="28"/>
        <v>7.3000909090909092</v>
      </c>
      <c r="R387" s="12">
        <v>4779.5600000000004</v>
      </c>
      <c r="S387" s="12">
        <v>4263.6499999999996</v>
      </c>
      <c r="T387" s="12">
        <v>66.69</v>
      </c>
      <c r="U387" s="12">
        <v>54.99</v>
      </c>
      <c r="V387" s="12">
        <v>1</v>
      </c>
    </row>
    <row r="388" spans="1:22" x14ac:dyDescent="0.25">
      <c r="A388" s="12">
        <v>2024</v>
      </c>
      <c r="B388" s="12" t="s">
        <v>396</v>
      </c>
      <c r="C388" s="12" t="s">
        <v>202</v>
      </c>
      <c r="D388" s="12" t="s">
        <v>203</v>
      </c>
      <c r="E388" s="12" t="s">
        <v>204</v>
      </c>
      <c r="F388" s="12" t="s">
        <v>419</v>
      </c>
      <c r="G388" s="12">
        <v>303</v>
      </c>
      <c r="H388" s="12">
        <v>3</v>
      </c>
      <c r="I388" s="12">
        <v>3</v>
      </c>
      <c r="J388" s="12">
        <v>1</v>
      </c>
      <c r="K388" s="12">
        <v>7</v>
      </c>
      <c r="L388" s="13" t="s">
        <v>69</v>
      </c>
      <c r="M388" s="6" t="s">
        <v>658</v>
      </c>
      <c r="N388" s="12">
        <v>6.65</v>
      </c>
      <c r="O388" s="12">
        <v>14.5</v>
      </c>
      <c r="P388" s="12">
        <v>36.299999999999997</v>
      </c>
      <c r="Q388" s="26">
        <f t="shared" si="28"/>
        <v>6.4610795454545462</v>
      </c>
      <c r="R388" s="12">
        <v>4230.2299999999996</v>
      </c>
      <c r="S388" s="12">
        <v>3773.62</v>
      </c>
      <c r="T388" s="12">
        <v>64.69</v>
      </c>
      <c r="U388" s="12">
        <v>41.39</v>
      </c>
      <c r="V388" s="12">
        <v>2</v>
      </c>
    </row>
    <row r="389" spans="1:22" x14ac:dyDescent="0.25">
      <c r="A389" s="12">
        <v>2024</v>
      </c>
      <c r="B389" s="12" t="s">
        <v>396</v>
      </c>
      <c r="C389" s="12" t="s">
        <v>202</v>
      </c>
      <c r="D389" s="12" t="s">
        <v>203</v>
      </c>
      <c r="E389" s="12" t="s">
        <v>204</v>
      </c>
      <c r="F389" s="12" t="s">
        <v>420</v>
      </c>
      <c r="G389" s="12">
        <v>304</v>
      </c>
      <c r="H389" s="12">
        <v>4</v>
      </c>
      <c r="I389" s="12">
        <v>3</v>
      </c>
      <c r="J389" s="12">
        <v>2</v>
      </c>
      <c r="K389" s="12">
        <v>19</v>
      </c>
      <c r="L389" s="13" t="s">
        <v>113</v>
      </c>
      <c r="M389" s="6" t="s">
        <v>658</v>
      </c>
      <c r="N389" s="12">
        <v>8.4</v>
      </c>
      <c r="O389" s="12">
        <v>14.1</v>
      </c>
      <c r="P389" s="12">
        <v>39.5</v>
      </c>
      <c r="Q389" s="26">
        <f t="shared" si="28"/>
        <v>8.1995454545454542</v>
      </c>
      <c r="R389" s="12">
        <v>5368.45</v>
      </c>
      <c r="S389" s="12">
        <v>4788.9799999999996</v>
      </c>
      <c r="T389" s="12">
        <v>63.25</v>
      </c>
      <c r="U389" s="12">
        <v>34.229999999999997</v>
      </c>
      <c r="V389" s="12">
        <v>1</v>
      </c>
    </row>
    <row r="390" spans="1:22" x14ac:dyDescent="0.25">
      <c r="A390" s="12">
        <v>2024</v>
      </c>
      <c r="B390" s="12" t="s">
        <v>396</v>
      </c>
      <c r="C390" s="12" t="s">
        <v>202</v>
      </c>
      <c r="D390" s="12" t="s">
        <v>203</v>
      </c>
      <c r="E390" s="12" t="s">
        <v>204</v>
      </c>
      <c r="F390" s="12" t="s">
        <v>421</v>
      </c>
      <c r="G390" s="12">
        <v>305</v>
      </c>
      <c r="H390" s="12">
        <v>5</v>
      </c>
      <c r="I390" s="12">
        <v>3</v>
      </c>
      <c r="J390" s="12">
        <v>2</v>
      </c>
      <c r="K390" s="12">
        <v>4</v>
      </c>
      <c r="L390" s="13" t="s">
        <v>339</v>
      </c>
      <c r="M390" s="6" t="s">
        <v>658</v>
      </c>
      <c r="N390" s="12">
        <v>8.83</v>
      </c>
      <c r="O390" s="12">
        <v>15.5</v>
      </c>
      <c r="P390" s="12">
        <v>44.6</v>
      </c>
      <c r="Q390" s="26">
        <f t="shared" si="28"/>
        <v>8.4788068181818179</v>
      </c>
      <c r="R390" s="12">
        <v>5551.29</v>
      </c>
      <c r="S390" s="12">
        <v>4952.09</v>
      </c>
      <c r="T390" s="12">
        <v>66.260000000000005</v>
      </c>
      <c r="U390" s="12">
        <v>54.17</v>
      </c>
      <c r="V390" s="12">
        <v>1</v>
      </c>
    </row>
    <row r="391" spans="1:22" x14ac:dyDescent="0.25">
      <c r="A391" s="12">
        <v>2024</v>
      </c>
      <c r="B391" s="12" t="s">
        <v>396</v>
      </c>
      <c r="C391" s="12" t="s">
        <v>202</v>
      </c>
      <c r="D391" s="12" t="s">
        <v>203</v>
      </c>
      <c r="E391" s="12" t="s">
        <v>204</v>
      </c>
      <c r="F391" s="12" t="s">
        <v>422</v>
      </c>
      <c r="G391" s="12">
        <v>306</v>
      </c>
      <c r="H391" s="12">
        <v>6</v>
      </c>
      <c r="I391" s="12">
        <v>3</v>
      </c>
      <c r="J391" s="12">
        <v>2</v>
      </c>
      <c r="K391" s="12">
        <v>12</v>
      </c>
      <c r="L391" s="13" t="s">
        <v>27</v>
      </c>
      <c r="M391" s="13" t="s">
        <v>53</v>
      </c>
      <c r="N391" s="12">
        <v>8.14</v>
      </c>
      <c r="O391" s="12">
        <v>15</v>
      </c>
      <c r="P391" s="12">
        <v>42.4</v>
      </c>
      <c r="Q391" s="26">
        <f t="shared" si="28"/>
        <v>7.8625000000000007</v>
      </c>
      <c r="R391" s="12">
        <v>5147.78</v>
      </c>
      <c r="S391" s="12">
        <v>4592.13</v>
      </c>
      <c r="T391" s="12">
        <v>69.849999999999994</v>
      </c>
      <c r="U391" s="12">
        <v>54.99</v>
      </c>
      <c r="V391" s="12">
        <v>1</v>
      </c>
    </row>
    <row r="392" spans="1:22" x14ac:dyDescent="0.25">
      <c r="A392" s="12">
        <v>2024</v>
      </c>
      <c r="B392" s="12" t="s">
        <v>396</v>
      </c>
      <c r="C392" s="12" t="s">
        <v>202</v>
      </c>
      <c r="D392" s="12" t="s">
        <v>203</v>
      </c>
      <c r="E392" s="12" t="s">
        <v>204</v>
      </c>
      <c r="F392" s="12" t="s">
        <v>423</v>
      </c>
      <c r="G392" s="12">
        <v>307</v>
      </c>
      <c r="H392" s="12">
        <v>7</v>
      </c>
      <c r="I392" s="12">
        <v>3</v>
      </c>
      <c r="J392" s="12">
        <v>2</v>
      </c>
      <c r="K392" s="12">
        <v>17</v>
      </c>
      <c r="L392" s="13" t="s">
        <v>42</v>
      </c>
      <c r="M392" s="13" t="s">
        <v>30</v>
      </c>
      <c r="N392" s="12">
        <v>9.3699999999999992</v>
      </c>
      <c r="O392" s="12">
        <v>14.6</v>
      </c>
      <c r="P392" s="12">
        <v>40</v>
      </c>
      <c r="Q392" s="26">
        <f t="shared" si="28"/>
        <v>9.09315909090909</v>
      </c>
      <c r="R392" s="12">
        <v>5953.52</v>
      </c>
      <c r="S392" s="12">
        <v>5310.9</v>
      </c>
      <c r="T392" s="12">
        <v>68.39</v>
      </c>
      <c r="U392" s="12">
        <v>59.85</v>
      </c>
      <c r="V392" s="12">
        <v>1</v>
      </c>
    </row>
    <row r="393" spans="1:22" x14ac:dyDescent="0.25">
      <c r="A393" s="12">
        <v>2024</v>
      </c>
      <c r="B393" s="12" t="s">
        <v>396</v>
      </c>
      <c r="C393" s="12" t="s">
        <v>202</v>
      </c>
      <c r="D393" s="12" t="s">
        <v>203</v>
      </c>
      <c r="E393" s="12" t="s">
        <v>204</v>
      </c>
      <c r="F393" s="12" t="s">
        <v>424</v>
      </c>
      <c r="G393" s="12">
        <v>308</v>
      </c>
      <c r="H393" s="12">
        <v>8</v>
      </c>
      <c r="I393" s="12">
        <v>3</v>
      </c>
      <c r="J393" s="12">
        <v>3</v>
      </c>
      <c r="K393" s="12">
        <v>17</v>
      </c>
      <c r="L393" s="13" t="s">
        <v>42</v>
      </c>
      <c r="M393" s="13" t="s">
        <v>30</v>
      </c>
      <c r="N393" s="12">
        <v>9.31</v>
      </c>
      <c r="O393" s="12">
        <v>14.8</v>
      </c>
      <c r="P393" s="12">
        <v>41.7</v>
      </c>
      <c r="Q393" s="26">
        <f t="shared" si="28"/>
        <v>9.0137727272727268</v>
      </c>
      <c r="R393" s="12">
        <v>5901.55</v>
      </c>
      <c r="S393" s="12">
        <v>5264.54</v>
      </c>
      <c r="T393" s="12">
        <v>69.290000000000006</v>
      </c>
      <c r="U393" s="12">
        <v>59.97</v>
      </c>
      <c r="V393" s="12">
        <v>1</v>
      </c>
    </row>
    <row r="394" spans="1:22" x14ac:dyDescent="0.25">
      <c r="A394" s="12">
        <v>2024</v>
      </c>
      <c r="B394" s="12" t="s">
        <v>396</v>
      </c>
      <c r="C394" s="12" t="s">
        <v>202</v>
      </c>
      <c r="D394" s="12" t="s">
        <v>203</v>
      </c>
      <c r="E394" s="12" t="s">
        <v>204</v>
      </c>
      <c r="F394" s="12" t="s">
        <v>425</v>
      </c>
      <c r="G394" s="12">
        <v>309</v>
      </c>
      <c r="H394" s="12">
        <v>9</v>
      </c>
      <c r="I394" s="12">
        <v>3</v>
      </c>
      <c r="J394" s="12">
        <v>3</v>
      </c>
      <c r="K394" s="12">
        <v>3</v>
      </c>
      <c r="L394" s="13" t="s">
        <v>100</v>
      </c>
      <c r="M394" s="13" t="s">
        <v>53</v>
      </c>
      <c r="N394" s="12">
        <v>8.6</v>
      </c>
      <c r="O394" s="12">
        <v>13.7</v>
      </c>
      <c r="P394" s="12">
        <v>38.1</v>
      </c>
      <c r="Q394" s="26">
        <f t="shared" si="28"/>
        <v>8.4338636363636361</v>
      </c>
      <c r="R394" s="12">
        <v>5521.86</v>
      </c>
      <c r="S394" s="12">
        <v>4925.84</v>
      </c>
      <c r="T394" s="12">
        <v>65</v>
      </c>
      <c r="U394" s="12">
        <v>38.75</v>
      </c>
      <c r="V394" s="12">
        <v>1</v>
      </c>
    </row>
    <row r="395" spans="1:22" x14ac:dyDescent="0.25">
      <c r="A395" s="12">
        <v>2024</v>
      </c>
      <c r="B395" s="12" t="s">
        <v>396</v>
      </c>
      <c r="C395" s="12" t="s">
        <v>202</v>
      </c>
      <c r="D395" s="12" t="s">
        <v>203</v>
      </c>
      <c r="E395" s="12" t="s">
        <v>204</v>
      </c>
      <c r="F395" s="12" t="s">
        <v>426</v>
      </c>
      <c r="G395" s="12">
        <v>310</v>
      </c>
      <c r="H395" s="12">
        <v>10</v>
      </c>
      <c r="I395" s="12">
        <v>3</v>
      </c>
      <c r="J395" s="12">
        <v>3</v>
      </c>
      <c r="K395" s="12">
        <v>7</v>
      </c>
      <c r="L395" s="13" t="s">
        <v>69</v>
      </c>
      <c r="M395" s="6" t="s">
        <v>658</v>
      </c>
      <c r="N395" s="12">
        <v>8.76</v>
      </c>
      <c r="O395" s="12">
        <v>14</v>
      </c>
      <c r="P395" s="12">
        <v>40.700000000000003</v>
      </c>
      <c r="Q395" s="26">
        <f t="shared" si="28"/>
        <v>8.5609090909090906</v>
      </c>
      <c r="R395" s="12">
        <v>5605.04</v>
      </c>
      <c r="S395" s="12">
        <v>5000.04</v>
      </c>
      <c r="T395" s="12">
        <v>65.400000000000006</v>
      </c>
      <c r="U395" s="12">
        <v>46.11</v>
      </c>
      <c r="V395" s="12">
        <v>2</v>
      </c>
    </row>
    <row r="396" spans="1:22" x14ac:dyDescent="0.25">
      <c r="A396" s="12">
        <v>2024</v>
      </c>
      <c r="B396" s="12" t="s">
        <v>396</v>
      </c>
      <c r="C396" s="12" t="s">
        <v>202</v>
      </c>
      <c r="D396" s="12" t="s">
        <v>203</v>
      </c>
      <c r="E396" s="12" t="s">
        <v>204</v>
      </c>
      <c r="F396" s="12" t="s">
        <v>427</v>
      </c>
      <c r="G396" s="12">
        <v>401</v>
      </c>
      <c r="H396" s="12">
        <v>1</v>
      </c>
      <c r="I396" s="12">
        <v>4</v>
      </c>
      <c r="J396" s="12">
        <v>1</v>
      </c>
      <c r="K396" s="12">
        <v>10</v>
      </c>
      <c r="L396" s="13" t="s">
        <v>27</v>
      </c>
      <c r="M396" s="6" t="s">
        <v>658</v>
      </c>
      <c r="N396" s="12">
        <v>5.61</v>
      </c>
      <c r="O396" s="12">
        <v>15.1</v>
      </c>
      <c r="P396" s="12">
        <v>37</v>
      </c>
      <c r="Q396" s="26">
        <f t="shared" si="28"/>
        <v>5.4123750000000008</v>
      </c>
      <c r="R396" s="12">
        <v>3543.62</v>
      </c>
      <c r="S396" s="12">
        <v>3161.12</v>
      </c>
      <c r="T396" s="12">
        <v>67.16</v>
      </c>
      <c r="U396" s="12">
        <v>43.23</v>
      </c>
      <c r="V396" s="12">
        <v>1</v>
      </c>
    </row>
    <row r="397" spans="1:22" x14ac:dyDescent="0.25">
      <c r="A397" s="12">
        <v>2024</v>
      </c>
      <c r="B397" s="12" t="s">
        <v>396</v>
      </c>
      <c r="C397" s="12" t="s">
        <v>202</v>
      </c>
      <c r="D397" s="12" t="s">
        <v>203</v>
      </c>
      <c r="E397" s="12" t="s">
        <v>204</v>
      </c>
      <c r="F397" s="12" t="s">
        <v>428</v>
      </c>
      <c r="G397" s="12">
        <v>402</v>
      </c>
      <c r="H397" s="12">
        <v>2</v>
      </c>
      <c r="I397" s="12">
        <v>4</v>
      </c>
      <c r="J397" s="12">
        <v>1</v>
      </c>
      <c r="K397" s="12">
        <v>13</v>
      </c>
      <c r="L397" s="13" t="s">
        <v>336</v>
      </c>
      <c r="M397" s="6" t="s">
        <v>658</v>
      </c>
      <c r="N397" s="12">
        <v>4.3099999999999996</v>
      </c>
      <c r="O397" s="12">
        <v>13.6</v>
      </c>
      <c r="P397" s="12">
        <v>29.6</v>
      </c>
      <c r="Q397" s="26">
        <f t="shared" si="28"/>
        <v>4.2316363636363628</v>
      </c>
      <c r="R397" s="12">
        <v>2770.56</v>
      </c>
      <c r="S397" s="12">
        <v>2471.5100000000002</v>
      </c>
      <c r="T397" s="12">
        <v>58.95</v>
      </c>
      <c r="U397" s="12">
        <v>32.08</v>
      </c>
      <c r="V397" s="12">
        <v>1</v>
      </c>
    </row>
    <row r="398" spans="1:22" x14ac:dyDescent="0.25">
      <c r="A398" s="12">
        <v>2024</v>
      </c>
      <c r="B398" s="12" t="s">
        <v>396</v>
      </c>
      <c r="C398" s="12" t="s">
        <v>202</v>
      </c>
      <c r="D398" s="12" t="s">
        <v>203</v>
      </c>
      <c r="E398" s="12" t="s">
        <v>204</v>
      </c>
      <c r="F398" s="12" t="s">
        <v>429</v>
      </c>
      <c r="G398" s="12">
        <v>403</v>
      </c>
      <c r="H398" s="12">
        <v>3</v>
      </c>
      <c r="I398" s="12">
        <v>4</v>
      </c>
      <c r="J398" s="12">
        <v>1</v>
      </c>
      <c r="K398" s="12">
        <v>1</v>
      </c>
      <c r="L398" s="13" t="s">
        <v>100</v>
      </c>
      <c r="M398" s="6" t="s">
        <v>658</v>
      </c>
      <c r="N398" s="12">
        <v>7.24</v>
      </c>
      <c r="O398" s="12">
        <v>14</v>
      </c>
      <c r="P398" s="12">
        <v>35</v>
      </c>
      <c r="Q398" s="26">
        <f t="shared" si="28"/>
        <v>7.0754545454545452</v>
      </c>
      <c r="R398" s="12">
        <v>4632.4799999999996</v>
      </c>
      <c r="S398" s="12">
        <v>4132.45</v>
      </c>
      <c r="T398" s="12">
        <v>62.67</v>
      </c>
      <c r="U398" s="12">
        <v>34</v>
      </c>
      <c r="V398" s="12">
        <v>1</v>
      </c>
    </row>
    <row r="399" spans="1:22" x14ac:dyDescent="0.25">
      <c r="A399" s="12">
        <v>2024</v>
      </c>
      <c r="B399" s="12" t="s">
        <v>396</v>
      </c>
      <c r="C399" s="12" t="s">
        <v>202</v>
      </c>
      <c r="D399" s="12" t="s">
        <v>203</v>
      </c>
      <c r="E399" s="12" t="s">
        <v>204</v>
      </c>
      <c r="F399" s="12" t="s">
        <v>430</v>
      </c>
      <c r="G399" s="12">
        <v>404</v>
      </c>
      <c r="H399" s="12">
        <v>4</v>
      </c>
      <c r="I399" s="12">
        <v>4</v>
      </c>
      <c r="J399" s="12">
        <v>2</v>
      </c>
      <c r="K399" s="12">
        <v>3</v>
      </c>
      <c r="L399" s="13" t="s">
        <v>100</v>
      </c>
      <c r="M399" s="13" t="s">
        <v>53</v>
      </c>
      <c r="N399" s="12">
        <v>7.43</v>
      </c>
      <c r="O399" s="12">
        <v>14.6</v>
      </c>
      <c r="P399" s="12">
        <v>37.1</v>
      </c>
      <c r="Q399" s="26">
        <f t="shared" si="28"/>
        <v>7.2104772727272719</v>
      </c>
      <c r="R399" s="12">
        <v>4720.88</v>
      </c>
      <c r="S399" s="12">
        <v>4211.3100000000004</v>
      </c>
      <c r="T399" s="12">
        <v>64.16</v>
      </c>
      <c r="U399" s="12">
        <v>35.68</v>
      </c>
      <c r="V399" s="12">
        <v>1</v>
      </c>
    </row>
    <row r="400" spans="1:22" x14ac:dyDescent="0.25">
      <c r="A400" s="12">
        <v>2024</v>
      </c>
      <c r="B400" s="12" t="s">
        <v>396</v>
      </c>
      <c r="C400" s="12" t="s">
        <v>202</v>
      </c>
      <c r="D400" s="12" t="s">
        <v>203</v>
      </c>
      <c r="E400" s="12" t="s">
        <v>204</v>
      </c>
      <c r="F400" s="12" t="s">
        <v>431</v>
      </c>
      <c r="G400" s="12">
        <v>405</v>
      </c>
      <c r="H400" s="12">
        <v>5</v>
      </c>
      <c r="I400" s="12">
        <v>4</v>
      </c>
      <c r="J400" s="12">
        <v>2</v>
      </c>
      <c r="K400" s="12">
        <v>1</v>
      </c>
      <c r="L400" s="13" t="s">
        <v>100</v>
      </c>
      <c r="M400" s="6" t="s">
        <v>658</v>
      </c>
      <c r="N400" s="12">
        <v>7.74</v>
      </c>
      <c r="O400" s="12">
        <v>14</v>
      </c>
      <c r="P400" s="12">
        <v>37.5</v>
      </c>
      <c r="Q400" s="26">
        <f t="shared" si="28"/>
        <v>7.5640909090909085</v>
      </c>
      <c r="R400" s="12">
        <v>4952.3999999999996</v>
      </c>
      <c r="S400" s="12">
        <v>4417.84</v>
      </c>
      <c r="T400" s="12">
        <v>63.03</v>
      </c>
      <c r="U400" s="12">
        <v>32.049999999999997</v>
      </c>
      <c r="V400" s="12">
        <v>2</v>
      </c>
    </row>
    <row r="401" spans="1:22" x14ac:dyDescent="0.25">
      <c r="A401" s="12">
        <v>2024</v>
      </c>
      <c r="B401" s="12" t="s">
        <v>396</v>
      </c>
      <c r="C401" s="12" t="s">
        <v>202</v>
      </c>
      <c r="D401" s="12" t="s">
        <v>203</v>
      </c>
      <c r="E401" s="12" t="s">
        <v>204</v>
      </c>
      <c r="F401" s="12" t="s">
        <v>432</v>
      </c>
      <c r="G401" s="12">
        <v>406</v>
      </c>
      <c r="H401" s="12">
        <v>6</v>
      </c>
      <c r="I401" s="12">
        <v>4</v>
      </c>
      <c r="J401" s="12">
        <v>2</v>
      </c>
      <c r="K401" s="12">
        <v>14</v>
      </c>
      <c r="L401" s="13" t="s">
        <v>336</v>
      </c>
      <c r="M401" s="13" t="s">
        <v>30</v>
      </c>
      <c r="N401" s="12">
        <v>4.49</v>
      </c>
      <c r="O401" s="12">
        <v>13.1</v>
      </c>
      <c r="P401" s="12">
        <v>30.9</v>
      </c>
      <c r="Q401" s="26">
        <f t="shared" si="28"/>
        <v>4.4338750000000005</v>
      </c>
      <c r="R401" s="12">
        <v>2902.97</v>
      </c>
      <c r="S401" s="12">
        <v>2589.63</v>
      </c>
      <c r="T401" s="12">
        <v>60.83</v>
      </c>
      <c r="U401" s="12">
        <v>37.68</v>
      </c>
      <c r="V401" s="12">
        <v>1</v>
      </c>
    </row>
    <row r="402" spans="1:22" x14ac:dyDescent="0.25">
      <c r="A402" s="12">
        <v>2024</v>
      </c>
      <c r="B402" s="12" t="s">
        <v>396</v>
      </c>
      <c r="C402" s="12" t="s">
        <v>202</v>
      </c>
      <c r="D402" s="12" t="s">
        <v>203</v>
      </c>
      <c r="E402" s="12" t="s">
        <v>204</v>
      </c>
      <c r="F402" s="12" t="s">
        <v>433</v>
      </c>
      <c r="G402" s="12">
        <v>407</v>
      </c>
      <c r="H402" s="12">
        <v>7</v>
      </c>
      <c r="I402" s="12">
        <v>4</v>
      </c>
      <c r="J402" s="12">
        <v>2</v>
      </c>
      <c r="K402" s="12">
        <v>7</v>
      </c>
      <c r="L402" s="13" t="s">
        <v>69</v>
      </c>
      <c r="M402" s="6" t="s">
        <v>658</v>
      </c>
      <c r="N402" s="12">
        <v>8.1999999999999993</v>
      </c>
      <c r="O402" s="12">
        <v>14.2</v>
      </c>
      <c r="P402" s="12">
        <v>39.5</v>
      </c>
      <c r="Q402" s="26">
        <f t="shared" si="28"/>
        <v>7.9949999999999992</v>
      </c>
      <c r="R402" s="12">
        <v>5234.53</v>
      </c>
      <c r="S402" s="12">
        <v>4669.5200000000004</v>
      </c>
      <c r="T402" s="12">
        <v>64.75</v>
      </c>
      <c r="U402" s="12">
        <v>41.77</v>
      </c>
      <c r="V402" s="12">
        <v>2</v>
      </c>
    </row>
    <row r="403" spans="1:22" x14ac:dyDescent="0.25">
      <c r="A403" s="12">
        <v>2024</v>
      </c>
      <c r="B403" s="12" t="s">
        <v>396</v>
      </c>
      <c r="C403" s="12" t="s">
        <v>202</v>
      </c>
      <c r="D403" s="12" t="s">
        <v>203</v>
      </c>
      <c r="E403" s="12" t="s">
        <v>204</v>
      </c>
      <c r="F403" s="12" t="s">
        <v>434</v>
      </c>
      <c r="G403" s="12">
        <v>408</v>
      </c>
      <c r="H403" s="12">
        <v>8</v>
      </c>
      <c r="I403" s="12">
        <v>4</v>
      </c>
      <c r="J403" s="12">
        <v>3</v>
      </c>
      <c r="K403" s="12">
        <v>8</v>
      </c>
      <c r="L403" s="13" t="s">
        <v>69</v>
      </c>
      <c r="M403" s="13" t="s">
        <v>30</v>
      </c>
      <c r="N403" s="12">
        <v>8.5299999999999994</v>
      </c>
      <c r="O403" s="12">
        <v>14.2</v>
      </c>
      <c r="P403" s="12">
        <v>39.5</v>
      </c>
      <c r="Q403" s="26">
        <f t="shared" si="28"/>
        <v>8.316749999999999</v>
      </c>
      <c r="R403" s="12">
        <v>5445.19</v>
      </c>
      <c r="S403" s="12">
        <v>4857.4399999999996</v>
      </c>
      <c r="T403" s="12">
        <v>65.41</v>
      </c>
      <c r="U403" s="12">
        <v>44.41</v>
      </c>
      <c r="V403" s="12">
        <v>1</v>
      </c>
    </row>
    <row r="404" spans="1:22" x14ac:dyDescent="0.25">
      <c r="A404" s="12">
        <v>2024</v>
      </c>
      <c r="B404" s="12" t="s">
        <v>396</v>
      </c>
      <c r="C404" s="12" t="s">
        <v>202</v>
      </c>
      <c r="D404" s="12" t="s">
        <v>203</v>
      </c>
      <c r="E404" s="12" t="s">
        <v>204</v>
      </c>
      <c r="F404" s="12" t="s">
        <v>435</v>
      </c>
      <c r="G404" s="12">
        <v>409</v>
      </c>
      <c r="H404" s="12">
        <v>9</v>
      </c>
      <c r="I404" s="12">
        <v>4</v>
      </c>
      <c r="J404" s="12">
        <v>3</v>
      </c>
      <c r="K404" s="12">
        <v>16</v>
      </c>
      <c r="L404" s="13" t="s">
        <v>42</v>
      </c>
      <c r="M404" s="6" t="s">
        <v>658</v>
      </c>
      <c r="N404" s="12">
        <v>8.7200000000000006</v>
      </c>
      <c r="O404" s="12">
        <v>14.1</v>
      </c>
      <c r="P404" s="12">
        <v>39.1</v>
      </c>
      <c r="Q404" s="26">
        <f t="shared" si="28"/>
        <v>8.5119090909090911</v>
      </c>
      <c r="R404" s="12">
        <v>5572.96</v>
      </c>
      <c r="S404" s="12">
        <v>4971.42</v>
      </c>
      <c r="T404" s="12">
        <v>67.86</v>
      </c>
      <c r="U404" s="12">
        <v>54.61</v>
      </c>
      <c r="V404" s="12">
        <v>1</v>
      </c>
    </row>
    <row r="405" spans="1:22" x14ac:dyDescent="0.25">
      <c r="A405" s="12">
        <v>2024</v>
      </c>
      <c r="B405" s="12" t="s">
        <v>396</v>
      </c>
      <c r="C405" s="12" t="s">
        <v>202</v>
      </c>
      <c r="D405" s="12" t="s">
        <v>203</v>
      </c>
      <c r="E405" s="12" t="s">
        <v>204</v>
      </c>
      <c r="F405" s="12" t="s">
        <v>436</v>
      </c>
      <c r="G405" s="12">
        <v>410</v>
      </c>
      <c r="H405" s="12">
        <v>10</v>
      </c>
      <c r="I405" s="12">
        <v>4</v>
      </c>
      <c r="J405" s="12">
        <v>3</v>
      </c>
      <c r="K405" s="12">
        <v>5</v>
      </c>
      <c r="L405" s="13" t="s">
        <v>339</v>
      </c>
      <c r="M405" s="13" t="s">
        <v>30</v>
      </c>
      <c r="N405" s="12">
        <v>9.33</v>
      </c>
      <c r="O405" s="12">
        <v>15.4</v>
      </c>
      <c r="P405" s="12">
        <v>45</v>
      </c>
      <c r="Q405" s="26">
        <f t="shared" si="28"/>
        <v>8.9695227272727269</v>
      </c>
      <c r="R405" s="12">
        <v>5872.57</v>
      </c>
      <c r="S405" s="12">
        <v>5238.6899999999996</v>
      </c>
      <c r="T405" s="12">
        <v>66.38</v>
      </c>
      <c r="U405" s="12">
        <v>55.36</v>
      </c>
      <c r="V405" s="12">
        <v>1</v>
      </c>
    </row>
    <row r="406" spans="1:22" x14ac:dyDescent="0.25">
      <c r="A406" s="12">
        <v>2024</v>
      </c>
      <c r="B406" s="12" t="s">
        <v>396</v>
      </c>
      <c r="C406" s="12" t="s">
        <v>202</v>
      </c>
      <c r="D406" s="12" t="s">
        <v>203</v>
      </c>
      <c r="E406" s="12" t="s">
        <v>204</v>
      </c>
      <c r="F406" s="12" t="s">
        <v>437</v>
      </c>
      <c r="G406" s="12">
        <v>501</v>
      </c>
      <c r="H406" s="12">
        <v>1</v>
      </c>
      <c r="I406" s="12">
        <v>5</v>
      </c>
      <c r="J406" s="12">
        <v>1</v>
      </c>
      <c r="K406" s="12">
        <v>2</v>
      </c>
      <c r="L406" s="13" t="s">
        <v>100</v>
      </c>
      <c r="M406" s="13" t="s">
        <v>30</v>
      </c>
      <c r="N406" s="12">
        <v>5.9</v>
      </c>
      <c r="O406" s="12">
        <v>14.8</v>
      </c>
      <c r="P406" s="12">
        <v>33.6</v>
      </c>
      <c r="Q406" s="26">
        <f t="shared" si="28"/>
        <v>5.7122727272727278</v>
      </c>
      <c r="R406" s="12">
        <v>3739.97</v>
      </c>
      <c r="S406" s="12">
        <v>3336.28</v>
      </c>
      <c r="T406" s="12">
        <v>62.79</v>
      </c>
      <c r="U406" s="12">
        <v>31.08</v>
      </c>
      <c r="V406" s="12">
        <v>1</v>
      </c>
    </row>
    <row r="407" spans="1:22" x14ac:dyDescent="0.25">
      <c r="A407" s="12">
        <v>2024</v>
      </c>
      <c r="B407" s="12" t="s">
        <v>396</v>
      </c>
      <c r="C407" s="12" t="s">
        <v>202</v>
      </c>
      <c r="D407" s="12" t="s">
        <v>203</v>
      </c>
      <c r="E407" s="12" t="s">
        <v>204</v>
      </c>
      <c r="F407" s="12" t="s">
        <v>438</v>
      </c>
      <c r="G407" s="12">
        <v>502</v>
      </c>
      <c r="H407" s="12">
        <v>2</v>
      </c>
      <c r="I407" s="12">
        <v>5</v>
      </c>
      <c r="J407" s="12">
        <v>1</v>
      </c>
      <c r="K407" s="12">
        <v>19</v>
      </c>
      <c r="L407" s="13" t="s">
        <v>113</v>
      </c>
      <c r="M407" s="6" t="s">
        <v>658</v>
      </c>
      <c r="N407" s="12">
        <v>7.93</v>
      </c>
      <c r="O407" s="12">
        <v>14.7</v>
      </c>
      <c r="P407" s="12">
        <v>39.200000000000003</v>
      </c>
      <c r="Q407" s="26">
        <f t="shared" si="28"/>
        <v>7.6866931818181818</v>
      </c>
      <c r="R407" s="12">
        <v>5032.67</v>
      </c>
      <c r="S407" s="12">
        <v>4489.45</v>
      </c>
      <c r="T407" s="12">
        <v>64.39</v>
      </c>
      <c r="U407" s="12">
        <v>35.9</v>
      </c>
      <c r="V407" s="12">
        <v>1</v>
      </c>
    </row>
    <row r="408" spans="1:22" x14ac:dyDescent="0.25">
      <c r="A408" s="12">
        <v>2024</v>
      </c>
      <c r="B408" s="12" t="s">
        <v>396</v>
      </c>
      <c r="C408" s="12" t="s">
        <v>202</v>
      </c>
      <c r="D408" s="12" t="s">
        <v>203</v>
      </c>
      <c r="E408" s="12" t="s">
        <v>204</v>
      </c>
      <c r="F408" s="12" t="s">
        <v>439</v>
      </c>
      <c r="G408" s="12">
        <v>503</v>
      </c>
      <c r="H408" s="12">
        <v>3</v>
      </c>
      <c r="I408" s="12">
        <v>5</v>
      </c>
      <c r="J408" s="12">
        <v>1</v>
      </c>
      <c r="K408" s="12">
        <v>4</v>
      </c>
      <c r="L408" s="13" t="s">
        <v>339</v>
      </c>
      <c r="M408" s="6" t="s">
        <v>658</v>
      </c>
      <c r="N408" s="12">
        <v>8.5399999999999991</v>
      </c>
      <c r="O408" s="12">
        <v>15.5</v>
      </c>
      <c r="P408" s="12">
        <v>42.3</v>
      </c>
      <c r="Q408" s="26">
        <f t="shared" si="28"/>
        <v>8.2003409090909081</v>
      </c>
      <c r="R408" s="12">
        <v>5368.97</v>
      </c>
      <c r="S408" s="12">
        <v>4789.45</v>
      </c>
      <c r="T408" s="12">
        <v>67.39</v>
      </c>
      <c r="U408" s="12">
        <v>54.17</v>
      </c>
      <c r="V408" s="12">
        <v>1</v>
      </c>
    </row>
    <row r="409" spans="1:22" x14ac:dyDescent="0.25">
      <c r="A409" s="12">
        <v>2024</v>
      </c>
      <c r="B409" s="12" t="s">
        <v>396</v>
      </c>
      <c r="C409" s="12" t="s">
        <v>202</v>
      </c>
      <c r="D409" s="12" t="s">
        <v>203</v>
      </c>
      <c r="E409" s="12" t="s">
        <v>204</v>
      </c>
      <c r="F409" s="12" t="s">
        <v>440</v>
      </c>
      <c r="G409" s="12">
        <v>504</v>
      </c>
      <c r="H409" s="12">
        <v>4</v>
      </c>
      <c r="I409" s="12">
        <v>5</v>
      </c>
      <c r="J409" s="12">
        <v>2</v>
      </c>
      <c r="K409" s="12">
        <v>11</v>
      </c>
      <c r="L409" s="13" t="s">
        <v>27</v>
      </c>
      <c r="M409" s="13" t="s">
        <v>30</v>
      </c>
      <c r="N409" s="12">
        <v>7.73</v>
      </c>
      <c r="O409" s="12">
        <v>14.8</v>
      </c>
      <c r="P409" s="12">
        <v>40.9</v>
      </c>
      <c r="Q409" s="26">
        <f t="shared" si="28"/>
        <v>7.4840454545454547</v>
      </c>
      <c r="R409" s="12">
        <v>4899.99</v>
      </c>
      <c r="S409" s="12">
        <v>4371.09</v>
      </c>
      <c r="T409" s="12">
        <v>70.650000000000006</v>
      </c>
      <c r="U409" s="12">
        <v>50.96</v>
      </c>
      <c r="V409" s="12">
        <v>1</v>
      </c>
    </row>
    <row r="410" spans="1:22" x14ac:dyDescent="0.25">
      <c r="A410" s="12">
        <v>2024</v>
      </c>
      <c r="B410" s="12" t="s">
        <v>396</v>
      </c>
      <c r="C410" s="12" t="s">
        <v>202</v>
      </c>
      <c r="D410" s="12" t="s">
        <v>203</v>
      </c>
      <c r="E410" s="12" t="s">
        <v>204</v>
      </c>
      <c r="F410" s="12" t="s">
        <v>441</v>
      </c>
      <c r="G410" s="12">
        <v>505</v>
      </c>
      <c r="H410" s="12">
        <v>5</v>
      </c>
      <c r="I410" s="12">
        <v>5</v>
      </c>
      <c r="J410" s="12">
        <v>2</v>
      </c>
      <c r="K410" s="12">
        <v>5</v>
      </c>
      <c r="L410" s="13" t="s">
        <v>339</v>
      </c>
      <c r="M410" s="13" t="s">
        <v>30</v>
      </c>
      <c r="N410" s="12">
        <v>8.1999999999999993</v>
      </c>
      <c r="O410" s="12">
        <v>15.2</v>
      </c>
      <c r="P410" s="12">
        <v>42.3</v>
      </c>
      <c r="Q410" s="26">
        <f t="shared" si="28"/>
        <v>7.9018181818181805</v>
      </c>
      <c r="R410" s="12">
        <v>5173.5200000000004</v>
      </c>
      <c r="S410" s="12">
        <v>4615.09</v>
      </c>
      <c r="T410" s="12">
        <v>67.75</v>
      </c>
      <c r="U410" s="12">
        <v>54.82</v>
      </c>
      <c r="V410" s="12">
        <v>1</v>
      </c>
    </row>
    <row r="411" spans="1:22" x14ac:dyDescent="0.25">
      <c r="A411" s="12">
        <v>2024</v>
      </c>
      <c r="B411" s="12" t="s">
        <v>396</v>
      </c>
      <c r="C411" s="12" t="s">
        <v>202</v>
      </c>
      <c r="D411" s="12" t="s">
        <v>203</v>
      </c>
      <c r="E411" s="12" t="s">
        <v>204</v>
      </c>
      <c r="F411" s="12" t="s">
        <v>442</v>
      </c>
      <c r="G411" s="12">
        <v>506</v>
      </c>
      <c r="H411" s="12">
        <v>6</v>
      </c>
      <c r="I411" s="12">
        <v>5</v>
      </c>
      <c r="J411" s="12">
        <v>2</v>
      </c>
      <c r="K411" s="12">
        <v>10</v>
      </c>
      <c r="L411" s="13" t="s">
        <v>27</v>
      </c>
      <c r="M411" s="6" t="s">
        <v>658</v>
      </c>
      <c r="N411" s="12">
        <v>7.37</v>
      </c>
      <c r="O411" s="12">
        <v>14.7</v>
      </c>
      <c r="P411" s="12">
        <v>42.2</v>
      </c>
      <c r="Q411" s="26">
        <f t="shared" si="28"/>
        <v>7.1438749999999995</v>
      </c>
      <c r="R411" s="12">
        <v>4677.28</v>
      </c>
      <c r="S411" s="12">
        <v>4172.41</v>
      </c>
      <c r="T411" s="12">
        <v>70.98</v>
      </c>
      <c r="U411" s="12">
        <v>47.54</v>
      </c>
      <c r="V411" s="12">
        <v>1</v>
      </c>
    </row>
    <row r="412" spans="1:22" x14ac:dyDescent="0.25">
      <c r="A412" s="12">
        <v>2024</v>
      </c>
      <c r="B412" s="12" t="s">
        <v>396</v>
      </c>
      <c r="C412" s="12" t="s">
        <v>202</v>
      </c>
      <c r="D412" s="12" t="s">
        <v>203</v>
      </c>
      <c r="E412" s="12" t="s">
        <v>204</v>
      </c>
      <c r="F412" s="12" t="s">
        <v>443</v>
      </c>
      <c r="G412" s="12">
        <v>507</v>
      </c>
      <c r="H412" s="12">
        <v>7</v>
      </c>
      <c r="I412" s="12">
        <v>5</v>
      </c>
      <c r="J412" s="12">
        <v>3</v>
      </c>
      <c r="K412" s="12">
        <v>14</v>
      </c>
      <c r="L412" s="13" t="s">
        <v>336</v>
      </c>
      <c r="M412" s="13" t="s">
        <v>30</v>
      </c>
      <c r="N412" s="12">
        <v>5.83</v>
      </c>
      <c r="O412" s="12">
        <v>13</v>
      </c>
      <c r="P412" s="12">
        <v>32.4</v>
      </c>
      <c r="Q412" s="26">
        <f t="shared" si="28"/>
        <v>5.7637499999999999</v>
      </c>
      <c r="R412" s="12">
        <v>3773.67</v>
      </c>
      <c r="S412" s="12">
        <v>3366.35</v>
      </c>
      <c r="T412" s="12">
        <v>64.25</v>
      </c>
      <c r="U412" s="12">
        <v>44.78</v>
      </c>
      <c r="V412" s="12">
        <v>1</v>
      </c>
    </row>
    <row r="413" spans="1:22" x14ac:dyDescent="0.25">
      <c r="A413" s="12">
        <v>2024</v>
      </c>
      <c r="B413" s="12" t="s">
        <v>396</v>
      </c>
      <c r="C413" s="12" t="s">
        <v>202</v>
      </c>
      <c r="D413" s="12" t="s">
        <v>203</v>
      </c>
      <c r="E413" s="12" t="s">
        <v>204</v>
      </c>
      <c r="F413" s="12" t="s">
        <v>444</v>
      </c>
      <c r="G413" s="12">
        <v>508</v>
      </c>
      <c r="H413" s="12">
        <v>8</v>
      </c>
      <c r="I413" s="12">
        <v>5</v>
      </c>
      <c r="J413" s="12">
        <v>3</v>
      </c>
      <c r="K413" s="12">
        <v>2</v>
      </c>
      <c r="L413" s="13" t="s">
        <v>100</v>
      </c>
      <c r="M413" s="13" t="s">
        <v>30</v>
      </c>
      <c r="N413" s="12">
        <v>8.83</v>
      </c>
      <c r="O413" s="12">
        <v>14.4</v>
      </c>
      <c r="P413" s="12">
        <v>41</v>
      </c>
      <c r="Q413" s="26">
        <f t="shared" si="28"/>
        <v>8.5891818181818191</v>
      </c>
      <c r="R413" s="12">
        <v>5623.56</v>
      </c>
      <c r="S413" s="12">
        <v>5016.55</v>
      </c>
      <c r="T413" s="12">
        <v>67.510000000000005</v>
      </c>
      <c r="U413" s="12">
        <v>39.5</v>
      </c>
      <c r="V413" s="12">
        <v>1</v>
      </c>
    </row>
    <row r="414" spans="1:22" x14ac:dyDescent="0.25">
      <c r="A414" s="12">
        <v>2024</v>
      </c>
      <c r="B414" s="12" t="s">
        <v>396</v>
      </c>
      <c r="C414" s="12" t="s">
        <v>202</v>
      </c>
      <c r="D414" s="12" t="s">
        <v>203</v>
      </c>
      <c r="E414" s="12" t="s">
        <v>204</v>
      </c>
      <c r="F414" s="12" t="s">
        <v>445</v>
      </c>
      <c r="G414" s="12">
        <v>509</v>
      </c>
      <c r="H414" s="12">
        <v>9</v>
      </c>
      <c r="I414" s="12">
        <v>5</v>
      </c>
      <c r="J414" s="12">
        <v>3</v>
      </c>
      <c r="K414" s="12">
        <v>10</v>
      </c>
      <c r="L414" s="13" t="s">
        <v>27</v>
      </c>
      <c r="M414" s="6" t="s">
        <v>658</v>
      </c>
      <c r="N414" s="12">
        <v>7.62</v>
      </c>
      <c r="O414" s="12">
        <v>14.5</v>
      </c>
      <c r="P414" s="12">
        <v>42.6</v>
      </c>
      <c r="Q414" s="26">
        <f t="shared" si="28"/>
        <v>7.403522727272728</v>
      </c>
      <c r="R414" s="12">
        <v>4847.2700000000004</v>
      </c>
      <c r="S414" s="12">
        <v>4324.0600000000004</v>
      </c>
      <c r="T414" s="12">
        <v>71.2</v>
      </c>
      <c r="U414" s="12">
        <v>48.54</v>
      </c>
      <c r="V414" s="12">
        <v>1</v>
      </c>
    </row>
    <row r="415" spans="1:22" x14ac:dyDescent="0.25">
      <c r="A415" s="12">
        <v>2024</v>
      </c>
      <c r="B415" s="12" t="s">
        <v>396</v>
      </c>
      <c r="C415" s="12" t="s">
        <v>202</v>
      </c>
      <c r="D415" s="12" t="s">
        <v>203</v>
      </c>
      <c r="E415" s="12" t="s">
        <v>204</v>
      </c>
      <c r="F415" s="12" t="s">
        <v>446</v>
      </c>
      <c r="G415" s="12">
        <v>510</v>
      </c>
      <c r="H415" s="12">
        <v>10</v>
      </c>
      <c r="I415" s="12">
        <v>5</v>
      </c>
      <c r="J415" s="12">
        <v>3</v>
      </c>
      <c r="K415" s="12">
        <v>18</v>
      </c>
      <c r="L415" s="13" t="s">
        <v>42</v>
      </c>
      <c r="M415" s="13" t="s">
        <v>53</v>
      </c>
      <c r="N415" s="12">
        <v>8.8699999999999992</v>
      </c>
      <c r="O415" s="12">
        <v>14.3</v>
      </c>
      <c r="P415" s="12">
        <v>42</v>
      </c>
      <c r="Q415" s="26">
        <f t="shared" si="28"/>
        <v>8.6381704545454525</v>
      </c>
      <c r="R415" s="12">
        <v>5655.63</v>
      </c>
      <c r="S415" s="12">
        <v>5045.16</v>
      </c>
      <c r="T415" s="12">
        <v>71.39</v>
      </c>
      <c r="U415" s="12">
        <v>62.42</v>
      </c>
      <c r="V415" s="12">
        <v>0</v>
      </c>
    </row>
    <row r="416" spans="1:22" x14ac:dyDescent="0.25">
      <c r="A416" s="12">
        <v>2024</v>
      </c>
      <c r="B416" s="12" t="s">
        <v>396</v>
      </c>
      <c r="C416" s="12" t="s">
        <v>202</v>
      </c>
      <c r="D416" s="12" t="s">
        <v>203</v>
      </c>
      <c r="E416" s="12" t="s">
        <v>204</v>
      </c>
      <c r="F416" s="12" t="s">
        <v>447</v>
      </c>
      <c r="G416" s="12">
        <v>601</v>
      </c>
      <c r="H416" s="12">
        <v>1</v>
      </c>
      <c r="I416" s="12">
        <v>6</v>
      </c>
      <c r="J416" s="12">
        <v>1</v>
      </c>
      <c r="K416" s="12">
        <v>14</v>
      </c>
      <c r="L416" s="13" t="s">
        <v>336</v>
      </c>
      <c r="M416" s="13" t="s">
        <v>30</v>
      </c>
      <c r="N416" s="12">
        <v>4.4400000000000004</v>
      </c>
      <c r="O416" s="12">
        <v>12.9</v>
      </c>
      <c r="P416" s="12">
        <v>26.6</v>
      </c>
      <c r="Q416" s="26">
        <f t="shared" si="28"/>
        <v>4.3945909090909092</v>
      </c>
      <c r="R416" s="12">
        <v>2877.25</v>
      </c>
      <c r="S416" s="12">
        <v>2566.6799999999998</v>
      </c>
      <c r="T416" s="12">
        <v>59.43</v>
      </c>
      <c r="U416" s="12">
        <v>37.67</v>
      </c>
      <c r="V416" s="12">
        <v>2</v>
      </c>
    </row>
    <row r="417" spans="1:22" x14ac:dyDescent="0.25">
      <c r="A417" s="12">
        <v>2024</v>
      </c>
      <c r="B417" s="12" t="s">
        <v>396</v>
      </c>
      <c r="C417" s="12" t="s">
        <v>202</v>
      </c>
      <c r="D417" s="12" t="s">
        <v>203</v>
      </c>
      <c r="E417" s="12" t="s">
        <v>204</v>
      </c>
      <c r="F417" s="12" t="s">
        <v>448</v>
      </c>
      <c r="G417" s="12">
        <v>602</v>
      </c>
      <c r="H417" s="12">
        <v>2</v>
      </c>
      <c r="I417" s="12">
        <v>6</v>
      </c>
      <c r="J417" s="12">
        <v>1</v>
      </c>
      <c r="K417" s="12">
        <v>20</v>
      </c>
      <c r="L417" s="13" t="s">
        <v>82</v>
      </c>
      <c r="M417" s="6" t="s">
        <v>658</v>
      </c>
      <c r="N417" s="12">
        <v>8.07</v>
      </c>
      <c r="O417" s="12">
        <v>15.2</v>
      </c>
      <c r="P417" s="12">
        <v>39.200000000000003</v>
      </c>
      <c r="Q417" s="26">
        <f t="shared" si="28"/>
        <v>7.7765454545454542</v>
      </c>
      <c r="R417" s="12">
        <v>5091.5</v>
      </c>
      <c r="S417" s="12">
        <v>4541.93</v>
      </c>
      <c r="T417" s="12">
        <v>66.97</v>
      </c>
      <c r="U417" s="12">
        <v>52</v>
      </c>
      <c r="V417" s="12">
        <v>1</v>
      </c>
    </row>
    <row r="418" spans="1:22" x14ac:dyDescent="0.25">
      <c r="A418" s="12">
        <v>2024</v>
      </c>
      <c r="B418" s="12" t="s">
        <v>396</v>
      </c>
      <c r="C418" s="12" t="s">
        <v>202</v>
      </c>
      <c r="D418" s="12" t="s">
        <v>203</v>
      </c>
      <c r="E418" s="12" t="s">
        <v>204</v>
      </c>
      <c r="F418" s="12" t="s">
        <v>449</v>
      </c>
      <c r="G418" s="12">
        <v>603</v>
      </c>
      <c r="H418" s="12">
        <v>3</v>
      </c>
      <c r="I418" s="12">
        <v>6</v>
      </c>
      <c r="J418" s="12">
        <v>1</v>
      </c>
      <c r="K418" s="12">
        <v>6</v>
      </c>
      <c r="L418" s="13" t="s">
        <v>339</v>
      </c>
      <c r="M418" s="13" t="s">
        <v>53</v>
      </c>
      <c r="N418" s="12">
        <v>8.08</v>
      </c>
      <c r="O418" s="12">
        <v>15.7</v>
      </c>
      <c r="P418" s="12">
        <v>43.4</v>
      </c>
      <c r="Q418" s="26">
        <f t="shared" si="28"/>
        <v>7.7402727272727274</v>
      </c>
      <c r="R418" s="12">
        <v>5067.75</v>
      </c>
      <c r="S418" s="12">
        <v>4520.74</v>
      </c>
      <c r="T418" s="12">
        <v>67.81</v>
      </c>
      <c r="U418" s="12">
        <v>56.47</v>
      </c>
      <c r="V418" s="12">
        <v>1</v>
      </c>
    </row>
    <row r="419" spans="1:22" x14ac:dyDescent="0.25">
      <c r="A419" s="12">
        <v>2024</v>
      </c>
      <c r="B419" s="12" t="s">
        <v>396</v>
      </c>
      <c r="C419" s="12" t="s">
        <v>202</v>
      </c>
      <c r="D419" s="12" t="s">
        <v>203</v>
      </c>
      <c r="E419" s="12" t="s">
        <v>204</v>
      </c>
      <c r="F419" s="12" t="s">
        <v>450</v>
      </c>
      <c r="G419" s="12">
        <v>604</v>
      </c>
      <c r="H419" s="12">
        <v>4</v>
      </c>
      <c r="I419" s="12">
        <v>6</v>
      </c>
      <c r="J419" s="12">
        <v>2</v>
      </c>
      <c r="K419" s="12">
        <v>18</v>
      </c>
      <c r="L419" s="13" t="s">
        <v>42</v>
      </c>
      <c r="M419" s="13" t="s">
        <v>53</v>
      </c>
      <c r="N419" s="12">
        <v>9.16</v>
      </c>
      <c r="O419" s="12">
        <v>14.9</v>
      </c>
      <c r="P419" s="12">
        <v>41.1</v>
      </c>
      <c r="Q419" s="26">
        <f t="shared" si="28"/>
        <v>8.8581363636363637</v>
      </c>
      <c r="R419" s="12">
        <v>5799.65</v>
      </c>
      <c r="S419" s="12">
        <v>5173.6400000000003</v>
      </c>
      <c r="T419" s="12">
        <v>69.650000000000006</v>
      </c>
      <c r="U419" s="12">
        <v>60.39</v>
      </c>
      <c r="V419" s="12">
        <v>0</v>
      </c>
    </row>
    <row r="420" spans="1:22" x14ac:dyDescent="0.25">
      <c r="A420" s="12">
        <v>2024</v>
      </c>
      <c r="B420" s="12" t="s">
        <v>396</v>
      </c>
      <c r="C420" s="12" t="s">
        <v>202</v>
      </c>
      <c r="D420" s="12" t="s">
        <v>203</v>
      </c>
      <c r="E420" s="12" t="s">
        <v>204</v>
      </c>
      <c r="F420" s="12" t="s">
        <v>451</v>
      </c>
      <c r="G420" s="12">
        <v>605</v>
      </c>
      <c r="H420" s="12">
        <v>5</v>
      </c>
      <c r="I420" s="12">
        <v>6</v>
      </c>
      <c r="J420" s="12">
        <v>2</v>
      </c>
      <c r="K420" s="12">
        <v>16</v>
      </c>
      <c r="L420" s="13" t="s">
        <v>42</v>
      </c>
      <c r="M420" s="6" t="s">
        <v>658</v>
      </c>
      <c r="N420" s="12">
        <v>9.16</v>
      </c>
      <c r="O420" s="12">
        <v>14.5</v>
      </c>
      <c r="P420" s="12">
        <v>39.700000000000003</v>
      </c>
      <c r="Q420" s="26">
        <f t="shared" si="28"/>
        <v>8.8997727272727278</v>
      </c>
      <c r="R420" s="12">
        <v>5826.91</v>
      </c>
      <c r="S420" s="12">
        <v>5197.95</v>
      </c>
      <c r="T420" s="12">
        <v>69.77</v>
      </c>
      <c r="U420" s="12">
        <v>58.29</v>
      </c>
      <c r="V420" s="12">
        <v>1</v>
      </c>
    </row>
    <row r="421" spans="1:22" x14ac:dyDescent="0.25">
      <c r="A421" s="12">
        <v>2024</v>
      </c>
      <c r="B421" s="12" t="s">
        <v>396</v>
      </c>
      <c r="C421" s="12" t="s">
        <v>202</v>
      </c>
      <c r="D421" s="12" t="s">
        <v>203</v>
      </c>
      <c r="E421" s="12" t="s">
        <v>204</v>
      </c>
      <c r="F421" s="12" t="s">
        <v>452</v>
      </c>
      <c r="G421" s="12">
        <v>606</v>
      </c>
      <c r="H421" s="12">
        <v>6</v>
      </c>
      <c r="I421" s="12">
        <v>6</v>
      </c>
      <c r="J421" s="12">
        <v>2</v>
      </c>
      <c r="K421" s="12">
        <v>20</v>
      </c>
      <c r="L421" s="13" t="s">
        <v>82</v>
      </c>
      <c r="M421" s="6" t="s">
        <v>658</v>
      </c>
      <c r="N421" s="12">
        <v>9.35</v>
      </c>
      <c r="O421" s="12">
        <v>14.7</v>
      </c>
      <c r="P421" s="12">
        <v>40.9</v>
      </c>
      <c r="Q421" s="26">
        <f t="shared" si="28"/>
        <v>9.0631249999999994</v>
      </c>
      <c r="R421" s="12">
        <v>5933.86</v>
      </c>
      <c r="S421" s="12">
        <v>5293.36</v>
      </c>
      <c r="T421" s="12">
        <v>70.44</v>
      </c>
      <c r="U421" s="12">
        <v>57.36</v>
      </c>
      <c r="V421" s="12">
        <v>1</v>
      </c>
    </row>
    <row r="422" spans="1:22" x14ac:dyDescent="0.25">
      <c r="A422" s="12">
        <v>2024</v>
      </c>
      <c r="B422" s="12" t="s">
        <v>396</v>
      </c>
      <c r="C422" s="12" t="s">
        <v>202</v>
      </c>
      <c r="D422" s="12" t="s">
        <v>203</v>
      </c>
      <c r="E422" s="12" t="s">
        <v>204</v>
      </c>
      <c r="F422" s="12" t="s">
        <v>453</v>
      </c>
      <c r="G422" s="12">
        <v>607</v>
      </c>
      <c r="H422" s="12">
        <v>7</v>
      </c>
      <c r="I422" s="12">
        <v>6</v>
      </c>
      <c r="J422" s="12">
        <v>3</v>
      </c>
      <c r="K422" s="12">
        <v>15</v>
      </c>
      <c r="L422" s="13" t="s">
        <v>336</v>
      </c>
      <c r="M422" s="13" t="s">
        <v>53</v>
      </c>
      <c r="N422" s="12">
        <v>7.08</v>
      </c>
      <c r="O422" s="12">
        <v>13.5</v>
      </c>
      <c r="P422" s="12">
        <v>34.4</v>
      </c>
      <c r="Q422" s="26">
        <f t="shared" si="28"/>
        <v>6.9593181818181815</v>
      </c>
      <c r="R422" s="12">
        <v>4556.4399999999996</v>
      </c>
      <c r="S422" s="12">
        <v>4064.62</v>
      </c>
      <c r="T422" s="12">
        <v>65.58</v>
      </c>
      <c r="U422" s="12">
        <v>45.48</v>
      </c>
      <c r="V422" s="12">
        <v>1</v>
      </c>
    </row>
    <row r="423" spans="1:22" x14ac:dyDescent="0.25">
      <c r="A423" s="12">
        <v>2024</v>
      </c>
      <c r="B423" s="12" t="s">
        <v>396</v>
      </c>
      <c r="C423" s="12" t="s">
        <v>202</v>
      </c>
      <c r="D423" s="12" t="s">
        <v>203</v>
      </c>
      <c r="E423" s="12" t="s">
        <v>204</v>
      </c>
      <c r="F423" s="12" t="s">
        <v>454</v>
      </c>
      <c r="G423" s="12">
        <v>608</v>
      </c>
      <c r="H423" s="12">
        <v>8</v>
      </c>
      <c r="I423" s="12">
        <v>6</v>
      </c>
      <c r="J423" s="12">
        <v>3</v>
      </c>
      <c r="K423" s="12">
        <v>20</v>
      </c>
      <c r="L423" s="13" t="s">
        <v>82</v>
      </c>
      <c r="M423" s="6" t="s">
        <v>658</v>
      </c>
      <c r="N423" s="12">
        <v>8.9600000000000009</v>
      </c>
      <c r="O423" s="12">
        <v>14.7</v>
      </c>
      <c r="P423" s="12">
        <v>40.9</v>
      </c>
      <c r="Q423" s="26">
        <f t="shared" si="28"/>
        <v>8.6850909090909099</v>
      </c>
      <c r="R423" s="12">
        <v>5686.35</v>
      </c>
      <c r="S423" s="12">
        <v>5072.57</v>
      </c>
      <c r="T423" s="12">
        <v>70.31</v>
      </c>
      <c r="U423" s="12">
        <v>57.37</v>
      </c>
      <c r="V423" s="12">
        <v>1</v>
      </c>
    </row>
    <row r="424" spans="1:22" x14ac:dyDescent="0.25">
      <c r="A424" s="12">
        <v>2024</v>
      </c>
      <c r="B424" s="12" t="s">
        <v>396</v>
      </c>
      <c r="C424" s="12" t="s">
        <v>202</v>
      </c>
      <c r="D424" s="12" t="s">
        <v>203</v>
      </c>
      <c r="E424" s="12" t="s">
        <v>204</v>
      </c>
      <c r="F424" s="12" t="s">
        <v>455</v>
      </c>
      <c r="G424" s="12">
        <v>609</v>
      </c>
      <c r="H424" s="12">
        <v>9</v>
      </c>
      <c r="I424" s="12">
        <v>6</v>
      </c>
      <c r="J424" s="12">
        <v>3</v>
      </c>
      <c r="K424" s="12">
        <v>9</v>
      </c>
      <c r="L424" s="13" t="s">
        <v>69</v>
      </c>
      <c r="M424" s="13" t="s">
        <v>53</v>
      </c>
      <c r="N424" s="12">
        <v>8.86</v>
      </c>
      <c r="O424" s="12">
        <v>14.1</v>
      </c>
      <c r="P424" s="12">
        <v>38.5</v>
      </c>
      <c r="Q424" s="26">
        <f t="shared" si="28"/>
        <v>8.648568181818181</v>
      </c>
      <c r="R424" s="12">
        <v>5662.44</v>
      </c>
      <c r="S424" s="12">
        <v>5051.24</v>
      </c>
      <c r="T424" s="12">
        <v>68.45</v>
      </c>
      <c r="U424" s="12">
        <v>50.27</v>
      </c>
      <c r="V424" s="12">
        <v>0</v>
      </c>
    </row>
    <row r="425" spans="1:22" x14ac:dyDescent="0.25">
      <c r="A425" s="12">
        <v>2024</v>
      </c>
      <c r="B425" s="12" t="s">
        <v>396</v>
      </c>
      <c r="C425" s="12" t="s">
        <v>202</v>
      </c>
      <c r="D425" s="12" t="s">
        <v>203</v>
      </c>
      <c r="E425" s="12" t="s">
        <v>204</v>
      </c>
      <c r="F425" s="12" t="s">
        <v>456</v>
      </c>
      <c r="G425" s="12">
        <v>610</v>
      </c>
      <c r="H425" s="12">
        <v>10</v>
      </c>
      <c r="I425" s="12">
        <v>6</v>
      </c>
      <c r="J425" s="12">
        <v>3</v>
      </c>
      <c r="K425" s="12">
        <v>12</v>
      </c>
      <c r="L425" s="13" t="s">
        <v>27</v>
      </c>
      <c r="M425" s="13" t="s">
        <v>53</v>
      </c>
      <c r="N425" s="12">
        <v>7.66</v>
      </c>
      <c r="O425" s="12">
        <v>14.7</v>
      </c>
      <c r="P425" s="12">
        <v>43</v>
      </c>
      <c r="Q425" s="26">
        <f t="shared" si="28"/>
        <v>7.424977272727272</v>
      </c>
      <c r="R425" s="12">
        <v>4861.32</v>
      </c>
      <c r="S425" s="12">
        <v>4336.59</v>
      </c>
      <c r="T425" s="12">
        <v>72.12</v>
      </c>
      <c r="U425" s="12">
        <v>53.38</v>
      </c>
      <c r="V425" s="12">
        <v>1</v>
      </c>
    </row>
    <row r="426" spans="1:22" x14ac:dyDescent="0.25">
      <c r="A426" s="12">
        <v>2024</v>
      </c>
      <c r="B426" s="12" t="s">
        <v>457</v>
      </c>
      <c r="C426" s="12" t="s">
        <v>244</v>
      </c>
      <c r="D426" s="12" t="s">
        <v>245</v>
      </c>
      <c r="E426" s="12" t="s">
        <v>246</v>
      </c>
      <c r="F426" s="12" t="s">
        <v>458</v>
      </c>
      <c r="G426" s="12">
        <v>101</v>
      </c>
      <c r="H426" s="12">
        <v>1</v>
      </c>
      <c r="I426" s="12">
        <v>1</v>
      </c>
      <c r="J426" s="12">
        <v>1</v>
      </c>
      <c r="K426" s="12">
        <v>11</v>
      </c>
      <c r="L426" s="13" t="s">
        <v>27</v>
      </c>
      <c r="M426" s="13" t="s">
        <v>30</v>
      </c>
      <c r="N426" s="12">
        <v>10.01</v>
      </c>
      <c r="O426" s="12">
        <v>17.399999999999999</v>
      </c>
      <c r="P426" s="12">
        <v>42</v>
      </c>
      <c r="Q426" s="26">
        <f t="shared" si="28"/>
        <v>9.3957499999999996</v>
      </c>
      <c r="R426" s="12">
        <v>738.2</v>
      </c>
      <c r="S426" s="12">
        <v>6264.48</v>
      </c>
      <c r="T426" s="12">
        <v>73.67</v>
      </c>
      <c r="U426" s="12">
        <v>62.69</v>
      </c>
      <c r="V426" s="12"/>
    </row>
    <row r="427" spans="1:22" x14ac:dyDescent="0.25">
      <c r="A427" s="12">
        <v>2024</v>
      </c>
      <c r="B427" s="12" t="s">
        <v>457</v>
      </c>
      <c r="C427" s="12" t="s">
        <v>244</v>
      </c>
      <c r="D427" s="12" t="s">
        <v>245</v>
      </c>
      <c r="E427" s="12" t="s">
        <v>246</v>
      </c>
      <c r="F427" s="12" t="s">
        <v>459</v>
      </c>
      <c r="G427" s="12">
        <v>102</v>
      </c>
      <c r="H427" s="12">
        <v>2</v>
      </c>
      <c r="I427" s="12">
        <v>1</v>
      </c>
      <c r="J427" s="12">
        <v>1</v>
      </c>
      <c r="K427" s="12">
        <v>18</v>
      </c>
      <c r="L427" s="13" t="s">
        <v>42</v>
      </c>
      <c r="M427" s="13" t="s">
        <v>53</v>
      </c>
      <c r="N427" s="12">
        <v>10.43</v>
      </c>
      <c r="O427" s="12">
        <v>20.5</v>
      </c>
      <c r="P427" s="12">
        <v>41</v>
      </c>
      <c r="Q427" s="26">
        <f t="shared" si="28"/>
        <v>9.4225568181818176</v>
      </c>
      <c r="R427" s="12">
        <v>740.3</v>
      </c>
      <c r="S427" s="12">
        <v>6282.35</v>
      </c>
      <c r="T427" s="12">
        <v>72.73</v>
      </c>
      <c r="U427" s="12">
        <v>63.63</v>
      </c>
      <c r="V427" s="12"/>
    </row>
    <row r="428" spans="1:22" x14ac:dyDescent="0.25">
      <c r="A428" s="12">
        <v>2024</v>
      </c>
      <c r="B428" s="12" t="s">
        <v>457</v>
      </c>
      <c r="C428" s="12" t="s">
        <v>244</v>
      </c>
      <c r="D428" s="12" t="s">
        <v>245</v>
      </c>
      <c r="E428" s="12" t="s">
        <v>246</v>
      </c>
      <c r="F428" s="12" t="s">
        <v>460</v>
      </c>
      <c r="G428" s="12">
        <v>103</v>
      </c>
      <c r="H428" s="12">
        <v>3</v>
      </c>
      <c r="I428" s="12">
        <v>1</v>
      </c>
      <c r="J428" s="12">
        <v>1</v>
      </c>
      <c r="K428" s="12">
        <v>19</v>
      </c>
      <c r="L428" s="13" t="s">
        <v>113</v>
      </c>
      <c r="M428" s="6" t="s">
        <v>658</v>
      </c>
      <c r="N428" s="12">
        <v>11.31</v>
      </c>
      <c r="O428" s="12">
        <v>14.6</v>
      </c>
      <c r="P428" s="12">
        <v>43.4</v>
      </c>
      <c r="Q428" s="26">
        <f t="shared" si="28"/>
        <v>10.975840909090909</v>
      </c>
      <c r="R428" s="12">
        <v>862.34</v>
      </c>
      <c r="S428" s="12">
        <v>7317.98</v>
      </c>
      <c r="T428" s="12">
        <v>72.2</v>
      </c>
      <c r="U428" s="12">
        <v>63.68</v>
      </c>
      <c r="V428" s="12"/>
    </row>
    <row r="429" spans="1:22" x14ac:dyDescent="0.25">
      <c r="A429" s="12">
        <v>2024</v>
      </c>
      <c r="B429" s="12" t="s">
        <v>457</v>
      </c>
      <c r="C429" s="12" t="s">
        <v>244</v>
      </c>
      <c r="D429" s="12" t="s">
        <v>245</v>
      </c>
      <c r="E429" s="12" t="s">
        <v>246</v>
      </c>
      <c r="F429" s="12" t="s">
        <v>461</v>
      </c>
      <c r="G429" s="12">
        <v>104</v>
      </c>
      <c r="H429" s="12">
        <v>4</v>
      </c>
      <c r="I429" s="12">
        <v>1</v>
      </c>
      <c r="J429" s="12">
        <v>1</v>
      </c>
      <c r="K429" s="12">
        <v>9</v>
      </c>
      <c r="L429" s="13" t="s">
        <v>69</v>
      </c>
      <c r="M429" s="13" t="s">
        <v>53</v>
      </c>
      <c r="N429" s="12">
        <v>12.76</v>
      </c>
      <c r="O429" s="12">
        <v>17.3</v>
      </c>
      <c r="P429" s="12">
        <v>42.2</v>
      </c>
      <c r="Q429" s="26">
        <f t="shared" si="28"/>
        <v>11.991499999999998</v>
      </c>
      <c r="R429" s="12">
        <v>942.14</v>
      </c>
      <c r="S429" s="12">
        <v>7995.15</v>
      </c>
      <c r="T429" s="12">
        <v>72.25</v>
      </c>
      <c r="U429" s="12">
        <v>58.82</v>
      </c>
      <c r="V429" s="12"/>
    </row>
    <row r="430" spans="1:22" x14ac:dyDescent="0.25">
      <c r="A430" s="12">
        <v>2024</v>
      </c>
      <c r="B430" s="12" t="s">
        <v>457</v>
      </c>
      <c r="C430" s="12" t="s">
        <v>244</v>
      </c>
      <c r="D430" s="12" t="s">
        <v>245</v>
      </c>
      <c r="E430" s="12" t="s">
        <v>246</v>
      </c>
      <c r="F430" s="12" t="s">
        <v>462</v>
      </c>
      <c r="G430" s="12">
        <v>105</v>
      </c>
      <c r="H430" s="12">
        <v>5</v>
      </c>
      <c r="I430" s="12">
        <v>1</v>
      </c>
      <c r="J430" s="12">
        <v>1</v>
      </c>
      <c r="K430" s="12">
        <v>12</v>
      </c>
      <c r="L430" s="13" t="s">
        <v>27</v>
      </c>
      <c r="M430" s="13" t="s">
        <v>53</v>
      </c>
      <c r="N430" s="12">
        <v>10.88</v>
      </c>
      <c r="O430" s="12">
        <v>15.9</v>
      </c>
      <c r="P430" s="12">
        <v>42.8</v>
      </c>
      <c r="Q430" s="26">
        <f t="shared" si="28"/>
        <v>10.397818181818183</v>
      </c>
      <c r="R430" s="12">
        <v>816.93</v>
      </c>
      <c r="S430" s="12">
        <v>6932.59</v>
      </c>
      <c r="T430" s="12">
        <v>75.209999999999994</v>
      </c>
      <c r="U430" s="12">
        <v>65.42</v>
      </c>
      <c r="V430" s="12"/>
    </row>
    <row r="431" spans="1:22" x14ac:dyDescent="0.25">
      <c r="A431" s="12">
        <v>2024</v>
      </c>
      <c r="B431" s="12" t="s">
        <v>457</v>
      </c>
      <c r="C431" s="12" t="s">
        <v>244</v>
      </c>
      <c r="D431" s="12" t="s">
        <v>245</v>
      </c>
      <c r="E431" s="12" t="s">
        <v>246</v>
      </c>
      <c r="F431" s="12" t="s">
        <v>463</v>
      </c>
      <c r="G431" s="12">
        <v>106</v>
      </c>
      <c r="H431" s="12">
        <v>6</v>
      </c>
      <c r="I431" s="12">
        <v>1</v>
      </c>
      <c r="J431" s="12">
        <v>1</v>
      </c>
      <c r="K431" s="12">
        <v>2</v>
      </c>
      <c r="L431" s="13" t="s">
        <v>100</v>
      </c>
      <c r="M431" s="13" t="s">
        <v>30</v>
      </c>
      <c r="N431" s="12">
        <v>11.35</v>
      </c>
      <c r="O431" s="12">
        <v>18.2</v>
      </c>
      <c r="P431" s="12">
        <v>41.9</v>
      </c>
      <c r="Q431" s="26">
        <f t="shared" si="28"/>
        <v>10.550340909090909</v>
      </c>
      <c r="R431" s="12">
        <v>828.91</v>
      </c>
      <c r="S431" s="12">
        <v>7034.28</v>
      </c>
      <c r="T431" s="12">
        <v>72.040000000000006</v>
      </c>
      <c r="U431" s="12">
        <v>56.52</v>
      </c>
      <c r="V431" s="12"/>
    </row>
    <row r="432" spans="1:22" x14ac:dyDescent="0.25">
      <c r="A432" s="12">
        <v>2024</v>
      </c>
      <c r="B432" s="12" t="s">
        <v>457</v>
      </c>
      <c r="C432" s="12" t="s">
        <v>244</v>
      </c>
      <c r="D432" s="12" t="s">
        <v>245</v>
      </c>
      <c r="E432" s="12" t="s">
        <v>246</v>
      </c>
      <c r="F432" s="12" t="s">
        <v>464</v>
      </c>
      <c r="G432" s="12">
        <v>107</v>
      </c>
      <c r="H432" s="12">
        <v>7</v>
      </c>
      <c r="I432" s="12">
        <v>1</v>
      </c>
      <c r="J432" s="12">
        <v>1</v>
      </c>
      <c r="K432" s="12">
        <v>3</v>
      </c>
      <c r="L432" s="13" t="s">
        <v>100</v>
      </c>
      <c r="M432" s="13" t="s">
        <v>53</v>
      </c>
      <c r="N432" s="12">
        <v>10.93</v>
      </c>
      <c r="O432" s="12">
        <v>14.5</v>
      </c>
      <c r="P432" s="12">
        <v>43.5</v>
      </c>
      <c r="Q432" s="26">
        <f t="shared" si="28"/>
        <v>10.619488636363636</v>
      </c>
      <c r="R432" s="12">
        <v>834.34</v>
      </c>
      <c r="S432" s="12">
        <v>7080.38</v>
      </c>
      <c r="T432" s="12">
        <v>71.989999999999995</v>
      </c>
      <c r="U432" s="12">
        <v>54.42</v>
      </c>
      <c r="V432" s="12"/>
    </row>
    <row r="433" spans="1:22" x14ac:dyDescent="0.25">
      <c r="A433" s="12">
        <v>2024</v>
      </c>
      <c r="B433" s="12" t="s">
        <v>457</v>
      </c>
      <c r="C433" s="12" t="s">
        <v>244</v>
      </c>
      <c r="D433" s="12" t="s">
        <v>245</v>
      </c>
      <c r="E433" s="12" t="s">
        <v>246</v>
      </c>
      <c r="F433" s="12" t="s">
        <v>465</v>
      </c>
      <c r="G433" s="12">
        <v>108</v>
      </c>
      <c r="H433" s="12">
        <v>8</v>
      </c>
      <c r="I433" s="12">
        <v>1</v>
      </c>
      <c r="J433" s="12">
        <v>1</v>
      </c>
      <c r="K433" s="12">
        <v>1</v>
      </c>
      <c r="L433" s="13" t="s">
        <v>100</v>
      </c>
      <c r="M433" s="6" t="s">
        <v>658</v>
      </c>
      <c r="N433" s="12">
        <v>11.16</v>
      </c>
      <c r="O433" s="12">
        <v>16</v>
      </c>
      <c r="P433" s="12">
        <v>42.7</v>
      </c>
      <c r="Q433" s="26">
        <f t="shared" si="28"/>
        <v>10.652727272727272</v>
      </c>
      <c r="R433" s="12">
        <v>836.95</v>
      </c>
      <c r="S433" s="12">
        <v>7102.55</v>
      </c>
      <c r="T433" s="12">
        <v>71.67</v>
      </c>
      <c r="U433" s="12">
        <v>55.84</v>
      </c>
      <c r="V433" s="12"/>
    </row>
    <row r="434" spans="1:22" x14ac:dyDescent="0.25">
      <c r="A434" s="12">
        <v>2024</v>
      </c>
      <c r="B434" s="12" t="s">
        <v>457</v>
      </c>
      <c r="C434" s="12" t="s">
        <v>244</v>
      </c>
      <c r="D434" s="12" t="s">
        <v>245</v>
      </c>
      <c r="E434" s="12" t="s">
        <v>246</v>
      </c>
      <c r="F434" s="12" t="s">
        <v>466</v>
      </c>
      <c r="G434" s="12">
        <v>109</v>
      </c>
      <c r="H434" s="12">
        <v>9</v>
      </c>
      <c r="I434" s="12">
        <v>1</v>
      </c>
      <c r="J434" s="12">
        <v>1</v>
      </c>
      <c r="K434" s="12">
        <v>10</v>
      </c>
      <c r="L434" s="13" t="s">
        <v>27</v>
      </c>
      <c r="M434" s="6" t="s">
        <v>658</v>
      </c>
      <c r="N434" s="12">
        <v>10.52</v>
      </c>
      <c r="O434" s="12">
        <v>15.9</v>
      </c>
      <c r="P434" s="12">
        <v>42.8</v>
      </c>
      <c r="Q434" s="26">
        <f t="shared" si="28"/>
        <v>10.053772727272728</v>
      </c>
      <c r="R434" s="12">
        <v>789.9</v>
      </c>
      <c r="S434" s="12">
        <v>6703.2</v>
      </c>
      <c r="T434" s="12">
        <v>74.650000000000006</v>
      </c>
      <c r="U434" s="12">
        <v>65.05</v>
      </c>
      <c r="V434" s="12"/>
    </row>
    <row r="435" spans="1:22" x14ac:dyDescent="0.25">
      <c r="A435" s="12">
        <v>2024</v>
      </c>
      <c r="B435" s="12" t="s">
        <v>457</v>
      </c>
      <c r="C435" s="12" t="s">
        <v>244</v>
      </c>
      <c r="D435" s="12" t="s">
        <v>245</v>
      </c>
      <c r="E435" s="12" t="s">
        <v>246</v>
      </c>
      <c r="F435" s="12" t="s">
        <v>467</v>
      </c>
      <c r="G435" s="12">
        <v>110</v>
      </c>
      <c r="H435" s="12">
        <v>10</v>
      </c>
      <c r="I435" s="12">
        <v>1</v>
      </c>
      <c r="J435" s="12">
        <v>1</v>
      </c>
      <c r="K435" s="12">
        <v>16</v>
      </c>
      <c r="L435" s="13" t="s">
        <v>42</v>
      </c>
      <c r="M435" s="6" t="s">
        <v>658</v>
      </c>
      <c r="N435" s="12">
        <v>9.51</v>
      </c>
      <c r="O435" s="12">
        <v>16</v>
      </c>
      <c r="P435" s="12">
        <v>42.9</v>
      </c>
      <c r="Q435" s="26">
        <f t="shared" ref="Q435:Q498" si="29">N435*(1-O435/100)/(1-0.12)</f>
        <v>9.0777272727272713</v>
      </c>
      <c r="R435" s="12">
        <v>713.21</v>
      </c>
      <c r="S435" s="12">
        <v>6052.44</v>
      </c>
      <c r="T435" s="12">
        <v>72.680000000000007</v>
      </c>
      <c r="U435" s="12">
        <v>61.51</v>
      </c>
      <c r="V435" s="12"/>
    </row>
    <row r="436" spans="1:22" x14ac:dyDescent="0.25">
      <c r="A436" s="12">
        <v>2024</v>
      </c>
      <c r="B436" s="12" t="s">
        <v>457</v>
      </c>
      <c r="C436" s="12" t="s">
        <v>244</v>
      </c>
      <c r="D436" s="12" t="s">
        <v>245</v>
      </c>
      <c r="E436" s="12" t="s">
        <v>246</v>
      </c>
      <c r="F436" s="12" t="s">
        <v>468</v>
      </c>
      <c r="G436" s="12">
        <v>201</v>
      </c>
      <c r="H436" s="12">
        <v>1</v>
      </c>
      <c r="I436" s="12">
        <v>2</v>
      </c>
      <c r="J436" s="12">
        <v>1</v>
      </c>
      <c r="K436" s="12">
        <v>14</v>
      </c>
      <c r="L436" s="13" t="s">
        <v>336</v>
      </c>
      <c r="M436" s="13" t="s">
        <v>30</v>
      </c>
      <c r="N436" s="12">
        <v>12.54</v>
      </c>
      <c r="O436" s="12">
        <v>19.899999999999999</v>
      </c>
      <c r="P436" s="12">
        <v>40.9</v>
      </c>
      <c r="Q436" s="26">
        <f t="shared" si="29"/>
        <v>11.414249999999999</v>
      </c>
      <c r="R436" s="12">
        <v>896.78</v>
      </c>
      <c r="S436" s="12">
        <v>7610.28</v>
      </c>
      <c r="T436" s="12">
        <v>72.41</v>
      </c>
      <c r="U436" s="12">
        <v>59.99</v>
      </c>
      <c r="V436" s="12"/>
    </row>
    <row r="437" spans="1:22" x14ac:dyDescent="0.25">
      <c r="A437" s="12">
        <v>2024</v>
      </c>
      <c r="B437" s="12" t="s">
        <v>457</v>
      </c>
      <c r="C437" s="12" t="s">
        <v>244</v>
      </c>
      <c r="D437" s="12" t="s">
        <v>245</v>
      </c>
      <c r="E437" s="12" t="s">
        <v>246</v>
      </c>
      <c r="F437" s="12" t="s">
        <v>469</v>
      </c>
      <c r="G437" s="12">
        <v>202</v>
      </c>
      <c r="H437" s="12">
        <v>2</v>
      </c>
      <c r="I437" s="12">
        <v>2</v>
      </c>
      <c r="J437" s="12">
        <v>1</v>
      </c>
      <c r="K437" s="12">
        <v>5</v>
      </c>
      <c r="L437" s="13" t="s">
        <v>339</v>
      </c>
      <c r="M437" s="13" t="s">
        <v>30</v>
      </c>
      <c r="N437" s="12">
        <v>12.18</v>
      </c>
      <c r="O437" s="12">
        <v>22.5</v>
      </c>
      <c r="P437" s="12">
        <v>40.6</v>
      </c>
      <c r="Q437" s="26">
        <f t="shared" si="29"/>
        <v>10.726704545454545</v>
      </c>
      <c r="R437" s="12">
        <v>842.77</v>
      </c>
      <c r="S437" s="12">
        <v>7151.87</v>
      </c>
      <c r="T437" s="12">
        <v>71.08</v>
      </c>
      <c r="U437" s="12">
        <v>65.239999999999995</v>
      </c>
      <c r="V437" s="12"/>
    </row>
    <row r="438" spans="1:22" x14ac:dyDescent="0.25">
      <c r="A438" s="12">
        <v>2024</v>
      </c>
      <c r="B438" s="12" t="s">
        <v>457</v>
      </c>
      <c r="C438" s="12" t="s">
        <v>244</v>
      </c>
      <c r="D438" s="12" t="s">
        <v>245</v>
      </c>
      <c r="E438" s="12" t="s">
        <v>246</v>
      </c>
      <c r="F438" s="12" t="s">
        <v>470</v>
      </c>
      <c r="G438" s="12">
        <v>203</v>
      </c>
      <c r="H438" s="12">
        <v>3</v>
      </c>
      <c r="I438" s="12">
        <v>2</v>
      </c>
      <c r="J438" s="12">
        <v>1</v>
      </c>
      <c r="K438" s="12">
        <v>15</v>
      </c>
      <c r="L438" s="13" t="s">
        <v>336</v>
      </c>
      <c r="M438" s="13" t="s">
        <v>53</v>
      </c>
      <c r="N438" s="12">
        <v>14.01</v>
      </c>
      <c r="O438" s="12">
        <v>19</v>
      </c>
      <c r="P438" s="12">
        <v>41.4</v>
      </c>
      <c r="Q438" s="26">
        <f t="shared" si="29"/>
        <v>12.895568181818183</v>
      </c>
      <c r="R438" s="12">
        <v>1013.17</v>
      </c>
      <c r="S438" s="12">
        <v>8597.93</v>
      </c>
      <c r="T438" s="12">
        <v>71.12</v>
      </c>
      <c r="U438" s="12">
        <v>59.02</v>
      </c>
      <c r="V438" s="12"/>
    </row>
    <row r="439" spans="1:22" x14ac:dyDescent="0.25">
      <c r="A439" s="12">
        <v>2024</v>
      </c>
      <c r="B439" s="12" t="s">
        <v>457</v>
      </c>
      <c r="C439" s="12" t="s">
        <v>244</v>
      </c>
      <c r="D439" s="12" t="s">
        <v>245</v>
      </c>
      <c r="E439" s="12" t="s">
        <v>246</v>
      </c>
      <c r="F439" s="12" t="s">
        <v>471</v>
      </c>
      <c r="G439" s="12">
        <v>204</v>
      </c>
      <c r="H439" s="12">
        <v>4</v>
      </c>
      <c r="I439" s="12">
        <v>2</v>
      </c>
      <c r="J439" s="12">
        <v>1</v>
      </c>
      <c r="K439" s="12">
        <v>7</v>
      </c>
      <c r="L439" s="13" t="s">
        <v>69</v>
      </c>
      <c r="M439" s="6" t="s">
        <v>658</v>
      </c>
      <c r="N439" s="12">
        <v>12.5</v>
      </c>
      <c r="O439" s="12">
        <v>15</v>
      </c>
      <c r="P439" s="12">
        <v>43.5</v>
      </c>
      <c r="Q439" s="26">
        <f t="shared" si="29"/>
        <v>12.073863636363637</v>
      </c>
      <c r="R439" s="12">
        <v>948.61</v>
      </c>
      <c r="S439" s="12">
        <v>8050.07</v>
      </c>
      <c r="T439" s="12">
        <v>72.87</v>
      </c>
      <c r="U439" s="12">
        <v>58.36</v>
      </c>
      <c r="V439" s="12"/>
    </row>
    <row r="440" spans="1:22" x14ac:dyDescent="0.25">
      <c r="A440" s="12">
        <v>2024</v>
      </c>
      <c r="B440" s="12" t="s">
        <v>457</v>
      </c>
      <c r="C440" s="12" t="s">
        <v>244</v>
      </c>
      <c r="D440" s="12" t="s">
        <v>245</v>
      </c>
      <c r="E440" s="12" t="s">
        <v>246</v>
      </c>
      <c r="F440" s="12" t="s">
        <v>472</v>
      </c>
      <c r="G440" s="12">
        <v>205</v>
      </c>
      <c r="H440" s="12">
        <v>5</v>
      </c>
      <c r="I440" s="12">
        <v>2</v>
      </c>
      <c r="J440" s="12">
        <v>1</v>
      </c>
      <c r="K440" s="12">
        <v>6</v>
      </c>
      <c r="L440" s="13" t="s">
        <v>339</v>
      </c>
      <c r="M440" s="13" t="s">
        <v>53</v>
      </c>
      <c r="N440" s="12">
        <v>12.22</v>
      </c>
      <c r="O440" s="12">
        <v>22.4</v>
      </c>
      <c r="P440" s="12">
        <v>40.9</v>
      </c>
      <c r="Q440" s="26">
        <f t="shared" si="29"/>
        <v>10.775818181818183</v>
      </c>
      <c r="R440" s="12">
        <v>846.62</v>
      </c>
      <c r="S440" s="12">
        <v>7184.62</v>
      </c>
      <c r="T440" s="12">
        <v>71.319999999999993</v>
      </c>
      <c r="U440" s="12">
        <v>66.28</v>
      </c>
      <c r="V440" s="12"/>
    </row>
    <row r="441" spans="1:22" x14ac:dyDescent="0.25">
      <c r="A441" s="12">
        <v>2024</v>
      </c>
      <c r="B441" s="12" t="s">
        <v>457</v>
      </c>
      <c r="C441" s="12" t="s">
        <v>244</v>
      </c>
      <c r="D441" s="12" t="s">
        <v>245</v>
      </c>
      <c r="E441" s="12" t="s">
        <v>246</v>
      </c>
      <c r="F441" s="12" t="s">
        <v>473</v>
      </c>
      <c r="G441" s="12">
        <v>206</v>
      </c>
      <c r="H441" s="12">
        <v>6</v>
      </c>
      <c r="I441" s="12">
        <v>2</v>
      </c>
      <c r="J441" s="12">
        <v>1</v>
      </c>
      <c r="K441" s="12">
        <v>4</v>
      </c>
      <c r="L441" s="13" t="s">
        <v>339</v>
      </c>
      <c r="M441" s="6" t="s">
        <v>658</v>
      </c>
      <c r="N441" s="12">
        <v>13.21</v>
      </c>
      <c r="O441" s="12">
        <v>22.5</v>
      </c>
      <c r="P441" s="12">
        <v>40.9</v>
      </c>
      <c r="Q441" s="26">
        <f t="shared" si="29"/>
        <v>11.633806818181819</v>
      </c>
      <c r="R441" s="12">
        <v>914.03</v>
      </c>
      <c r="S441" s="12">
        <v>7756.67</v>
      </c>
      <c r="T441" s="12">
        <v>70.98</v>
      </c>
      <c r="U441" s="12">
        <v>65.81</v>
      </c>
      <c r="V441" s="12"/>
    </row>
    <row r="442" spans="1:22" x14ac:dyDescent="0.25">
      <c r="A442" s="12">
        <v>2024</v>
      </c>
      <c r="B442" s="12" t="s">
        <v>457</v>
      </c>
      <c r="C442" s="12" t="s">
        <v>244</v>
      </c>
      <c r="D442" s="12" t="s">
        <v>245</v>
      </c>
      <c r="E442" s="12" t="s">
        <v>246</v>
      </c>
      <c r="F442" s="12" t="s">
        <v>474</v>
      </c>
      <c r="G442" s="12">
        <v>207</v>
      </c>
      <c r="H442" s="12">
        <v>7</v>
      </c>
      <c r="I442" s="12">
        <v>2</v>
      </c>
      <c r="J442" s="12">
        <v>1</v>
      </c>
      <c r="K442" s="12">
        <v>20</v>
      </c>
      <c r="L442" s="13" t="s">
        <v>82</v>
      </c>
      <c r="M442" s="6" t="s">
        <v>658</v>
      </c>
      <c r="N442" s="12">
        <v>12.05</v>
      </c>
      <c r="O442" s="12">
        <v>17</v>
      </c>
      <c r="P442" s="12">
        <v>42.5</v>
      </c>
      <c r="Q442" s="26">
        <f t="shared" si="29"/>
        <v>11.365340909090909</v>
      </c>
      <c r="R442" s="12">
        <v>892.94</v>
      </c>
      <c r="S442" s="12">
        <v>7577.67</v>
      </c>
      <c r="T442" s="12">
        <v>72.069999999999993</v>
      </c>
      <c r="U442" s="12">
        <v>61.41</v>
      </c>
      <c r="V442" s="12"/>
    </row>
    <row r="443" spans="1:22" x14ac:dyDescent="0.25">
      <c r="A443" s="12">
        <v>2024</v>
      </c>
      <c r="B443" s="12" t="s">
        <v>457</v>
      </c>
      <c r="C443" s="12" t="s">
        <v>244</v>
      </c>
      <c r="D443" s="12" t="s">
        <v>245</v>
      </c>
      <c r="E443" s="12" t="s">
        <v>246</v>
      </c>
      <c r="F443" s="12" t="s">
        <v>475</v>
      </c>
      <c r="G443" s="12">
        <v>208</v>
      </c>
      <c r="H443" s="12">
        <v>8</v>
      </c>
      <c r="I443" s="12">
        <v>2</v>
      </c>
      <c r="J443" s="12">
        <v>1</v>
      </c>
      <c r="K443" s="12">
        <v>13</v>
      </c>
      <c r="L443" s="13" t="s">
        <v>336</v>
      </c>
      <c r="M443" s="6" t="s">
        <v>658</v>
      </c>
      <c r="N443" s="12">
        <v>12.92</v>
      </c>
      <c r="O443" s="12">
        <v>20.8</v>
      </c>
      <c r="P443" s="12">
        <v>40.4</v>
      </c>
      <c r="Q443" s="26">
        <f t="shared" si="29"/>
        <v>11.628</v>
      </c>
      <c r="R443" s="12">
        <v>913.58</v>
      </c>
      <c r="S443" s="12">
        <v>7752.79</v>
      </c>
      <c r="T443" s="12">
        <v>71.27</v>
      </c>
      <c r="U443" s="12">
        <v>57.74</v>
      </c>
      <c r="V443" s="12"/>
    </row>
    <row r="444" spans="1:22" x14ac:dyDescent="0.25">
      <c r="A444" s="12">
        <v>2024</v>
      </c>
      <c r="B444" s="12" t="s">
        <v>457</v>
      </c>
      <c r="C444" s="12" t="s">
        <v>244</v>
      </c>
      <c r="D444" s="12" t="s">
        <v>245</v>
      </c>
      <c r="E444" s="12" t="s">
        <v>246</v>
      </c>
      <c r="F444" s="12" t="s">
        <v>476</v>
      </c>
      <c r="G444" s="12">
        <v>209</v>
      </c>
      <c r="H444" s="12">
        <v>9</v>
      </c>
      <c r="I444" s="12">
        <v>2</v>
      </c>
      <c r="J444" s="12">
        <v>1</v>
      </c>
      <c r="K444" s="12">
        <v>17</v>
      </c>
      <c r="L444" s="13" t="s">
        <v>42</v>
      </c>
      <c r="M444" s="13" t="s">
        <v>30</v>
      </c>
      <c r="N444" s="12">
        <v>9.59</v>
      </c>
      <c r="O444" s="12">
        <v>16.8</v>
      </c>
      <c r="P444" s="12">
        <v>42.5</v>
      </c>
      <c r="Q444" s="26">
        <f t="shared" si="29"/>
        <v>9.0669090909090908</v>
      </c>
      <c r="R444" s="12">
        <v>712.36</v>
      </c>
      <c r="S444" s="12">
        <v>6045.23</v>
      </c>
      <c r="T444" s="12">
        <v>72.77</v>
      </c>
      <c r="U444" s="12">
        <v>64.2</v>
      </c>
      <c r="V444" s="12"/>
    </row>
    <row r="445" spans="1:22" x14ac:dyDescent="0.25">
      <c r="A445" s="12">
        <v>2024</v>
      </c>
      <c r="B445" s="12" t="s">
        <v>457</v>
      </c>
      <c r="C445" s="12" t="s">
        <v>244</v>
      </c>
      <c r="D445" s="12" t="s">
        <v>245</v>
      </c>
      <c r="E445" s="12" t="s">
        <v>246</v>
      </c>
      <c r="F445" s="12" t="s">
        <v>477</v>
      </c>
      <c r="G445" s="12">
        <v>210</v>
      </c>
      <c r="H445" s="12">
        <v>10</v>
      </c>
      <c r="I445" s="12">
        <v>2</v>
      </c>
      <c r="J445" s="12">
        <v>1</v>
      </c>
      <c r="K445" s="12">
        <v>8</v>
      </c>
      <c r="L445" s="13" t="s">
        <v>69</v>
      </c>
      <c r="M445" s="13" t="s">
        <v>30</v>
      </c>
      <c r="N445" s="12">
        <v>12.15</v>
      </c>
      <c r="O445" s="12">
        <v>13.1</v>
      </c>
      <c r="P445" s="12">
        <v>44.5</v>
      </c>
      <c r="Q445" s="26">
        <f t="shared" si="29"/>
        <v>11.998125000000002</v>
      </c>
      <c r="R445" s="12">
        <v>942.66</v>
      </c>
      <c r="S445" s="12">
        <v>7999.57</v>
      </c>
      <c r="T445" s="12">
        <v>72.56</v>
      </c>
      <c r="U445" s="12">
        <v>51.4</v>
      </c>
      <c r="V445" s="12"/>
    </row>
    <row r="446" spans="1:22" x14ac:dyDescent="0.25">
      <c r="A446" s="12">
        <v>2024</v>
      </c>
      <c r="B446" s="12" t="s">
        <v>457</v>
      </c>
      <c r="C446" s="12" t="s">
        <v>244</v>
      </c>
      <c r="D446" s="12" t="s">
        <v>245</v>
      </c>
      <c r="E446" s="12" t="s">
        <v>246</v>
      </c>
      <c r="F446" s="12" t="s">
        <v>478</v>
      </c>
      <c r="G446" s="12">
        <v>301</v>
      </c>
      <c r="H446" s="12">
        <v>1</v>
      </c>
      <c r="I446" s="12">
        <v>3</v>
      </c>
      <c r="J446" s="12">
        <v>2</v>
      </c>
      <c r="K446" s="12">
        <v>15</v>
      </c>
      <c r="L446" s="13" t="s">
        <v>336</v>
      </c>
      <c r="M446" s="13" t="s">
        <v>53</v>
      </c>
      <c r="N446" s="12">
        <v>13.2</v>
      </c>
      <c r="O446" s="12">
        <v>19.100000000000001</v>
      </c>
      <c r="P446" s="12">
        <v>41</v>
      </c>
      <c r="Q446" s="26">
        <f t="shared" si="29"/>
        <v>12.134999999999998</v>
      </c>
      <c r="R446" s="12">
        <v>953.41</v>
      </c>
      <c r="S446" s="12">
        <v>8090.83</v>
      </c>
      <c r="T446" s="12">
        <v>71.37</v>
      </c>
      <c r="U446" s="12">
        <v>58.09</v>
      </c>
      <c r="V446" s="12"/>
    </row>
    <row r="447" spans="1:22" x14ac:dyDescent="0.25">
      <c r="A447" s="12">
        <v>2024</v>
      </c>
      <c r="B447" s="12" t="s">
        <v>457</v>
      </c>
      <c r="C447" s="12" t="s">
        <v>244</v>
      </c>
      <c r="D447" s="12" t="s">
        <v>245</v>
      </c>
      <c r="E447" s="12" t="s">
        <v>246</v>
      </c>
      <c r="F447" s="12" t="s">
        <v>479</v>
      </c>
      <c r="G447" s="12">
        <v>302</v>
      </c>
      <c r="H447" s="12">
        <v>2</v>
      </c>
      <c r="I447" s="12">
        <v>3</v>
      </c>
      <c r="J447" s="12">
        <v>2</v>
      </c>
      <c r="K447" s="12">
        <v>19</v>
      </c>
      <c r="L447" s="13" t="s">
        <v>113</v>
      </c>
      <c r="M447" s="6" t="s">
        <v>658</v>
      </c>
      <c r="N447" s="12">
        <v>12.37</v>
      </c>
      <c r="O447" s="12">
        <v>16.7</v>
      </c>
      <c r="P447" s="12">
        <v>42.4</v>
      </c>
      <c r="Q447" s="26">
        <f t="shared" si="29"/>
        <v>11.709329545454544</v>
      </c>
      <c r="R447" s="12">
        <v>919.97</v>
      </c>
      <c r="S447" s="12">
        <v>7807.02</v>
      </c>
      <c r="T447" s="12">
        <v>71.040000000000006</v>
      </c>
      <c r="U447" s="12">
        <v>59.68</v>
      </c>
      <c r="V447" s="12"/>
    </row>
    <row r="448" spans="1:22" x14ac:dyDescent="0.25">
      <c r="A448" s="12">
        <v>2024</v>
      </c>
      <c r="B448" s="12" t="s">
        <v>457</v>
      </c>
      <c r="C448" s="12" t="s">
        <v>244</v>
      </c>
      <c r="D448" s="12" t="s">
        <v>245</v>
      </c>
      <c r="E448" s="12" t="s">
        <v>246</v>
      </c>
      <c r="F448" s="12" t="s">
        <v>480</v>
      </c>
      <c r="G448" s="12">
        <v>303</v>
      </c>
      <c r="H448" s="12">
        <v>3</v>
      </c>
      <c r="I448" s="12">
        <v>3</v>
      </c>
      <c r="J448" s="12">
        <v>2</v>
      </c>
      <c r="K448" s="12">
        <v>5</v>
      </c>
      <c r="L448" s="13" t="s">
        <v>339</v>
      </c>
      <c r="M448" s="13" t="s">
        <v>30</v>
      </c>
      <c r="N448" s="12">
        <v>14.99</v>
      </c>
      <c r="O448" s="12">
        <v>24.4</v>
      </c>
      <c r="P448" s="12">
        <v>39.799999999999997</v>
      </c>
      <c r="Q448" s="26">
        <f t="shared" si="29"/>
        <v>12.877772727272728</v>
      </c>
      <c r="R448" s="12">
        <v>1011.77</v>
      </c>
      <c r="S448" s="12">
        <v>8586.06</v>
      </c>
      <c r="T448" s="12">
        <v>70.59</v>
      </c>
      <c r="U448" s="12">
        <v>64.260000000000005</v>
      </c>
      <c r="V448" s="12"/>
    </row>
    <row r="449" spans="1:22" x14ac:dyDescent="0.25">
      <c r="A449" s="12">
        <v>2024</v>
      </c>
      <c r="B449" s="12" t="s">
        <v>457</v>
      </c>
      <c r="C449" s="12" t="s">
        <v>244</v>
      </c>
      <c r="D449" s="12" t="s">
        <v>245</v>
      </c>
      <c r="E449" s="12" t="s">
        <v>246</v>
      </c>
      <c r="F449" s="12" t="s">
        <v>481</v>
      </c>
      <c r="G449" s="12">
        <v>304</v>
      </c>
      <c r="H449" s="12">
        <v>4</v>
      </c>
      <c r="I449" s="12">
        <v>3</v>
      </c>
      <c r="J449" s="12">
        <v>2</v>
      </c>
      <c r="K449" s="12">
        <v>3</v>
      </c>
      <c r="L449" s="13" t="s">
        <v>100</v>
      </c>
      <c r="M449" s="13" t="s">
        <v>53</v>
      </c>
      <c r="N449" s="12">
        <v>13.12</v>
      </c>
      <c r="O449" s="12">
        <v>15.3</v>
      </c>
      <c r="P449" s="12">
        <v>43.1</v>
      </c>
      <c r="Q449" s="26">
        <f t="shared" si="29"/>
        <v>12.627999999999998</v>
      </c>
      <c r="R449" s="12">
        <v>992.14</v>
      </c>
      <c r="S449" s="12">
        <v>8419.5300000000007</v>
      </c>
      <c r="T449" s="12">
        <v>71.7</v>
      </c>
      <c r="U449" s="12">
        <v>54.88</v>
      </c>
      <c r="V449" s="12"/>
    </row>
    <row r="450" spans="1:22" x14ac:dyDescent="0.25">
      <c r="A450" s="12">
        <v>2024</v>
      </c>
      <c r="B450" s="12" t="s">
        <v>457</v>
      </c>
      <c r="C450" s="12" t="s">
        <v>244</v>
      </c>
      <c r="D450" s="12" t="s">
        <v>245</v>
      </c>
      <c r="E450" s="12" t="s">
        <v>246</v>
      </c>
      <c r="F450" s="12" t="s">
        <v>482</v>
      </c>
      <c r="G450" s="12">
        <v>305</v>
      </c>
      <c r="H450" s="12">
        <v>5</v>
      </c>
      <c r="I450" s="12">
        <v>3</v>
      </c>
      <c r="J450" s="12">
        <v>2</v>
      </c>
      <c r="K450" s="12">
        <v>17</v>
      </c>
      <c r="L450" s="13" t="s">
        <v>42</v>
      </c>
      <c r="M450" s="13" t="s">
        <v>30</v>
      </c>
      <c r="N450" s="12">
        <v>10.3</v>
      </c>
      <c r="O450" s="12">
        <v>18.7</v>
      </c>
      <c r="P450" s="12">
        <v>41.6</v>
      </c>
      <c r="Q450" s="26">
        <f t="shared" si="29"/>
        <v>9.5157954545454562</v>
      </c>
      <c r="R450" s="12">
        <v>747.63</v>
      </c>
      <c r="S450" s="12">
        <v>6344.51</v>
      </c>
      <c r="T450" s="12">
        <v>73.010000000000005</v>
      </c>
      <c r="U450" s="12">
        <v>64.34</v>
      </c>
      <c r="V450" s="12"/>
    </row>
    <row r="451" spans="1:22" x14ac:dyDescent="0.25">
      <c r="A451" s="12">
        <v>2024</v>
      </c>
      <c r="B451" s="12" t="s">
        <v>457</v>
      </c>
      <c r="C451" s="12" t="s">
        <v>244</v>
      </c>
      <c r="D451" s="12" t="s">
        <v>245</v>
      </c>
      <c r="E451" s="12" t="s">
        <v>246</v>
      </c>
      <c r="F451" s="12" t="s">
        <v>483</v>
      </c>
      <c r="G451" s="12">
        <v>306</v>
      </c>
      <c r="H451" s="12">
        <v>6</v>
      </c>
      <c r="I451" s="12">
        <v>3</v>
      </c>
      <c r="J451" s="12">
        <v>2</v>
      </c>
      <c r="K451" s="12">
        <v>16</v>
      </c>
      <c r="L451" s="13" t="s">
        <v>42</v>
      </c>
      <c r="M451" s="6" t="s">
        <v>658</v>
      </c>
      <c r="N451" s="12">
        <v>11.41</v>
      </c>
      <c r="O451" s="12">
        <v>17.2</v>
      </c>
      <c r="P451" s="12">
        <v>42.1</v>
      </c>
      <c r="Q451" s="26">
        <f t="shared" si="29"/>
        <v>10.735772727272728</v>
      </c>
      <c r="R451" s="12">
        <v>843.48</v>
      </c>
      <c r="S451" s="12">
        <v>7157.92</v>
      </c>
      <c r="T451" s="12">
        <v>73.040000000000006</v>
      </c>
      <c r="U451" s="12">
        <v>61.36</v>
      </c>
      <c r="V451" s="12"/>
    </row>
    <row r="452" spans="1:22" x14ac:dyDescent="0.25">
      <c r="A452" s="12">
        <v>2024</v>
      </c>
      <c r="B452" s="12" t="s">
        <v>457</v>
      </c>
      <c r="C452" s="12" t="s">
        <v>244</v>
      </c>
      <c r="D452" s="12" t="s">
        <v>245</v>
      </c>
      <c r="E452" s="12" t="s">
        <v>246</v>
      </c>
      <c r="F452" s="12" t="s">
        <v>484</v>
      </c>
      <c r="G452" s="12">
        <v>307</v>
      </c>
      <c r="H452" s="12">
        <v>7</v>
      </c>
      <c r="I452" s="12">
        <v>3</v>
      </c>
      <c r="J452" s="12">
        <v>2</v>
      </c>
      <c r="K452" s="12">
        <v>1</v>
      </c>
      <c r="L452" s="13" t="s">
        <v>100</v>
      </c>
      <c r="M452" s="6" t="s">
        <v>658</v>
      </c>
      <c r="N452" s="12">
        <v>11.67</v>
      </c>
      <c r="O452" s="12">
        <v>14.9</v>
      </c>
      <c r="P452" s="12">
        <v>43.4</v>
      </c>
      <c r="Q452" s="26">
        <f t="shared" si="29"/>
        <v>11.285420454545454</v>
      </c>
      <c r="R452" s="12">
        <v>886.66</v>
      </c>
      <c r="S452" s="12">
        <v>7524.38</v>
      </c>
      <c r="T452" s="12">
        <v>72.27</v>
      </c>
      <c r="U452" s="12">
        <v>56.78</v>
      </c>
      <c r="V452" s="12"/>
    </row>
    <row r="453" spans="1:22" x14ac:dyDescent="0.25">
      <c r="A453" s="12">
        <v>2024</v>
      </c>
      <c r="B453" s="12" t="s">
        <v>457</v>
      </c>
      <c r="C453" s="12" t="s">
        <v>244</v>
      </c>
      <c r="D453" s="12" t="s">
        <v>245</v>
      </c>
      <c r="E453" s="12" t="s">
        <v>246</v>
      </c>
      <c r="F453" s="12" t="s">
        <v>485</v>
      </c>
      <c r="G453" s="12">
        <v>308</v>
      </c>
      <c r="H453" s="12">
        <v>8</v>
      </c>
      <c r="I453" s="12">
        <v>3</v>
      </c>
      <c r="J453" s="12">
        <v>2</v>
      </c>
      <c r="K453" s="12">
        <v>6</v>
      </c>
      <c r="L453" s="13" t="s">
        <v>339</v>
      </c>
      <c r="M453" s="13" t="s">
        <v>53</v>
      </c>
      <c r="N453" s="12">
        <v>12.34</v>
      </c>
      <c r="O453" s="12">
        <v>21.8</v>
      </c>
      <c r="P453" s="12">
        <v>40.9</v>
      </c>
      <c r="Q453" s="26">
        <f t="shared" si="29"/>
        <v>10.965772727272727</v>
      </c>
      <c r="R453" s="12">
        <v>861.55</v>
      </c>
      <c r="S453" s="12">
        <v>7311.26</v>
      </c>
      <c r="T453" s="12">
        <v>71.12</v>
      </c>
      <c r="U453" s="12">
        <v>65.53</v>
      </c>
      <c r="V453" s="12"/>
    </row>
    <row r="454" spans="1:22" x14ac:dyDescent="0.25">
      <c r="A454" s="12">
        <v>2024</v>
      </c>
      <c r="B454" s="12" t="s">
        <v>457</v>
      </c>
      <c r="C454" s="12" t="s">
        <v>244</v>
      </c>
      <c r="D454" s="12" t="s">
        <v>245</v>
      </c>
      <c r="E454" s="12" t="s">
        <v>246</v>
      </c>
      <c r="F454" s="12" t="s">
        <v>486</v>
      </c>
      <c r="G454" s="12">
        <v>309</v>
      </c>
      <c r="H454" s="12">
        <v>9</v>
      </c>
      <c r="I454" s="12">
        <v>3</v>
      </c>
      <c r="J454" s="12">
        <v>2</v>
      </c>
      <c r="K454" s="12">
        <v>14</v>
      </c>
      <c r="L454" s="13" t="s">
        <v>336</v>
      </c>
      <c r="M454" s="13" t="s">
        <v>30</v>
      </c>
      <c r="N454" s="12">
        <v>13.34</v>
      </c>
      <c r="O454" s="12">
        <v>17.100000000000001</v>
      </c>
      <c r="P454" s="12">
        <v>42.1</v>
      </c>
      <c r="Q454" s="26">
        <f t="shared" si="29"/>
        <v>12.566886363636362</v>
      </c>
      <c r="R454" s="12">
        <v>987.34</v>
      </c>
      <c r="S454" s="12">
        <v>8378.7800000000007</v>
      </c>
      <c r="T454" s="12">
        <v>70.989999999999995</v>
      </c>
      <c r="U454" s="12">
        <v>58.02</v>
      </c>
      <c r="V454" s="12"/>
    </row>
    <row r="455" spans="1:22" x14ac:dyDescent="0.25">
      <c r="A455" s="12">
        <v>2024</v>
      </c>
      <c r="B455" s="12" t="s">
        <v>457</v>
      </c>
      <c r="C455" s="12" t="s">
        <v>244</v>
      </c>
      <c r="D455" s="12" t="s">
        <v>245</v>
      </c>
      <c r="E455" s="12" t="s">
        <v>246</v>
      </c>
      <c r="F455" s="12" t="s">
        <v>487</v>
      </c>
      <c r="G455" s="12">
        <v>310</v>
      </c>
      <c r="H455" s="12">
        <v>10</v>
      </c>
      <c r="I455" s="12">
        <v>3</v>
      </c>
      <c r="J455" s="12">
        <v>2</v>
      </c>
      <c r="K455" s="12">
        <v>7</v>
      </c>
      <c r="L455" s="13" t="s">
        <v>69</v>
      </c>
      <c r="M455" s="6" t="s">
        <v>658</v>
      </c>
      <c r="N455" s="12">
        <v>11.05</v>
      </c>
      <c r="O455" s="12">
        <v>13.3</v>
      </c>
      <c r="P455" s="12">
        <v>44.3</v>
      </c>
      <c r="Q455" s="26">
        <f t="shared" si="29"/>
        <v>10.886761363636365</v>
      </c>
      <c r="R455" s="12">
        <v>855.34</v>
      </c>
      <c r="S455" s="12">
        <v>7258.58</v>
      </c>
      <c r="T455" s="12">
        <v>71.56</v>
      </c>
      <c r="U455" s="12">
        <v>49.31</v>
      </c>
      <c r="V455" s="12"/>
    </row>
    <row r="456" spans="1:22" x14ac:dyDescent="0.25">
      <c r="A456" s="12">
        <v>2024</v>
      </c>
      <c r="B456" s="12" t="s">
        <v>457</v>
      </c>
      <c r="C456" s="12" t="s">
        <v>244</v>
      </c>
      <c r="D456" s="12" t="s">
        <v>245</v>
      </c>
      <c r="E456" s="12" t="s">
        <v>246</v>
      </c>
      <c r="F456" s="12" t="s">
        <v>488</v>
      </c>
      <c r="G456" s="12">
        <v>401</v>
      </c>
      <c r="H456" s="12">
        <v>1</v>
      </c>
      <c r="I456" s="12">
        <v>4</v>
      </c>
      <c r="J456" s="12">
        <v>2</v>
      </c>
      <c r="K456" s="12">
        <v>13</v>
      </c>
      <c r="L456" s="13" t="s">
        <v>336</v>
      </c>
      <c r="M456" s="6" t="s">
        <v>658</v>
      </c>
      <c r="N456" s="12">
        <v>14.34</v>
      </c>
      <c r="O456" s="12">
        <v>18.7</v>
      </c>
      <c r="P456" s="12">
        <v>41.2</v>
      </c>
      <c r="Q456" s="26">
        <f t="shared" si="29"/>
        <v>13.248204545454545</v>
      </c>
      <c r="R456" s="12">
        <v>1040.8699999999999</v>
      </c>
      <c r="S456" s="12">
        <v>8833.0400000000009</v>
      </c>
      <c r="T456" s="12">
        <v>70.84</v>
      </c>
      <c r="U456" s="12">
        <v>58.11</v>
      </c>
      <c r="V456" s="12"/>
    </row>
    <row r="457" spans="1:22" x14ac:dyDescent="0.25">
      <c r="A457" s="12">
        <v>2024</v>
      </c>
      <c r="B457" s="12" t="s">
        <v>457</v>
      </c>
      <c r="C457" s="12" t="s">
        <v>244</v>
      </c>
      <c r="D457" s="12" t="s">
        <v>245</v>
      </c>
      <c r="E457" s="12" t="s">
        <v>246</v>
      </c>
      <c r="F457" s="12" t="s">
        <v>489</v>
      </c>
      <c r="G457" s="12">
        <v>402</v>
      </c>
      <c r="H457" s="12">
        <v>2</v>
      </c>
      <c r="I457" s="12">
        <v>4</v>
      </c>
      <c r="J457" s="12">
        <v>2</v>
      </c>
      <c r="K457" s="12">
        <v>12</v>
      </c>
      <c r="L457" s="13" t="s">
        <v>27</v>
      </c>
      <c r="M457" s="13" t="s">
        <v>53</v>
      </c>
      <c r="N457" s="12">
        <v>10.17</v>
      </c>
      <c r="O457" s="12">
        <v>16.399999999999999</v>
      </c>
      <c r="P457" s="12">
        <v>42.5</v>
      </c>
      <c r="Q457" s="26">
        <f t="shared" si="29"/>
        <v>9.661500000000002</v>
      </c>
      <c r="R457" s="12">
        <v>759.08</v>
      </c>
      <c r="S457" s="12">
        <v>6441.66</v>
      </c>
      <c r="T457" s="12">
        <v>74.739999999999995</v>
      </c>
      <c r="U457" s="12">
        <v>64.61</v>
      </c>
      <c r="V457" s="12"/>
    </row>
    <row r="458" spans="1:22" x14ac:dyDescent="0.25">
      <c r="A458" s="12">
        <v>2024</v>
      </c>
      <c r="B458" s="12" t="s">
        <v>457</v>
      </c>
      <c r="C458" s="12" t="s">
        <v>244</v>
      </c>
      <c r="D458" s="12" t="s">
        <v>245</v>
      </c>
      <c r="E458" s="12" t="s">
        <v>246</v>
      </c>
      <c r="F458" s="12" t="s">
        <v>490</v>
      </c>
      <c r="G458" s="12">
        <v>403</v>
      </c>
      <c r="H458" s="12">
        <v>3</v>
      </c>
      <c r="I458" s="12">
        <v>4</v>
      </c>
      <c r="J458" s="12">
        <v>2</v>
      </c>
      <c r="K458" s="12">
        <v>10</v>
      </c>
      <c r="L458" s="13" t="s">
        <v>27</v>
      </c>
      <c r="M458" s="6" t="s">
        <v>658</v>
      </c>
      <c r="N458" s="12">
        <v>10.82</v>
      </c>
      <c r="O458" s="12">
        <v>18.5</v>
      </c>
      <c r="P458" s="12">
        <v>41.6</v>
      </c>
      <c r="Q458" s="26">
        <f t="shared" si="29"/>
        <v>10.020795454545453</v>
      </c>
      <c r="R458" s="12">
        <v>787.3</v>
      </c>
      <c r="S458" s="12">
        <v>6681.22</v>
      </c>
      <c r="T458" s="12">
        <v>75.19</v>
      </c>
      <c r="U458" s="12">
        <v>65.2</v>
      </c>
      <c r="V458" s="12"/>
    </row>
    <row r="459" spans="1:22" x14ac:dyDescent="0.25">
      <c r="A459" s="12">
        <v>2024</v>
      </c>
      <c r="B459" s="12" t="s">
        <v>457</v>
      </c>
      <c r="C459" s="12" t="s">
        <v>244</v>
      </c>
      <c r="D459" s="12" t="s">
        <v>245</v>
      </c>
      <c r="E459" s="12" t="s">
        <v>246</v>
      </c>
      <c r="F459" s="12" t="s">
        <v>491</v>
      </c>
      <c r="G459" s="12">
        <v>404</v>
      </c>
      <c r="H459" s="12">
        <v>4</v>
      </c>
      <c r="I459" s="12">
        <v>4</v>
      </c>
      <c r="J459" s="12">
        <v>2</v>
      </c>
      <c r="K459" s="12">
        <v>9</v>
      </c>
      <c r="L459" s="13" t="s">
        <v>69</v>
      </c>
      <c r="M459" s="13" t="s">
        <v>53</v>
      </c>
      <c r="N459" s="12">
        <v>13.03</v>
      </c>
      <c r="O459" s="12">
        <v>14.9</v>
      </c>
      <c r="P459" s="12">
        <v>43.4</v>
      </c>
      <c r="Q459" s="26">
        <f t="shared" si="29"/>
        <v>12.60060227272727</v>
      </c>
      <c r="R459" s="12">
        <v>989.99</v>
      </c>
      <c r="S459" s="12">
        <v>8401.26</v>
      </c>
      <c r="T459" s="12">
        <v>72.63</v>
      </c>
      <c r="U459" s="12">
        <v>56.35</v>
      </c>
      <c r="V459" s="12"/>
    </row>
    <row r="460" spans="1:22" x14ac:dyDescent="0.25">
      <c r="A460" s="12">
        <v>2024</v>
      </c>
      <c r="B460" s="12" t="s">
        <v>457</v>
      </c>
      <c r="C460" s="12" t="s">
        <v>244</v>
      </c>
      <c r="D460" s="12" t="s">
        <v>245</v>
      </c>
      <c r="E460" s="12" t="s">
        <v>246</v>
      </c>
      <c r="F460" s="12" t="s">
        <v>492</v>
      </c>
      <c r="G460" s="12">
        <v>405</v>
      </c>
      <c r="H460" s="12">
        <v>5</v>
      </c>
      <c r="I460" s="12">
        <v>4</v>
      </c>
      <c r="J460" s="12">
        <v>2</v>
      </c>
      <c r="K460" s="12">
        <v>18</v>
      </c>
      <c r="L460" s="13" t="s">
        <v>42</v>
      </c>
      <c r="M460" s="13" t="s">
        <v>53</v>
      </c>
      <c r="N460" s="12">
        <v>10.07</v>
      </c>
      <c r="O460" s="12">
        <v>17.3</v>
      </c>
      <c r="P460" s="12">
        <v>42.2</v>
      </c>
      <c r="Q460" s="26">
        <f t="shared" si="29"/>
        <v>9.4635113636363641</v>
      </c>
      <c r="R460" s="12">
        <v>743.52</v>
      </c>
      <c r="S460" s="12">
        <v>6309.65</v>
      </c>
      <c r="T460" s="12">
        <v>73.48</v>
      </c>
      <c r="U460" s="12">
        <v>64.03</v>
      </c>
      <c r="V460" s="12"/>
    </row>
    <row r="461" spans="1:22" x14ac:dyDescent="0.25">
      <c r="A461" s="12">
        <v>2024</v>
      </c>
      <c r="B461" s="12" t="s">
        <v>457</v>
      </c>
      <c r="C461" s="12" t="s">
        <v>244</v>
      </c>
      <c r="D461" s="12" t="s">
        <v>245</v>
      </c>
      <c r="E461" s="12" t="s">
        <v>246</v>
      </c>
      <c r="F461" s="12" t="s">
        <v>493</v>
      </c>
      <c r="G461" s="12">
        <v>406</v>
      </c>
      <c r="H461" s="12">
        <v>6</v>
      </c>
      <c r="I461" s="12">
        <v>4</v>
      </c>
      <c r="J461" s="12">
        <v>2</v>
      </c>
      <c r="K461" s="12">
        <v>8</v>
      </c>
      <c r="L461" s="13" t="s">
        <v>69</v>
      </c>
      <c r="M461" s="13" t="s">
        <v>30</v>
      </c>
      <c r="N461" s="12">
        <v>12.88</v>
      </c>
      <c r="O461" s="12">
        <v>14.4</v>
      </c>
      <c r="P461" s="12">
        <v>43.8</v>
      </c>
      <c r="Q461" s="26">
        <f t="shared" si="29"/>
        <v>12.528727272727274</v>
      </c>
      <c r="R461" s="12">
        <v>984.35</v>
      </c>
      <c r="S461" s="12">
        <v>8353.34</v>
      </c>
      <c r="T461" s="12">
        <v>72.180000000000007</v>
      </c>
      <c r="U461" s="12">
        <v>54.31</v>
      </c>
      <c r="V461" s="12"/>
    </row>
    <row r="462" spans="1:22" x14ac:dyDescent="0.25">
      <c r="A462" s="12">
        <v>2024</v>
      </c>
      <c r="B462" s="12" t="s">
        <v>457</v>
      </c>
      <c r="C462" s="12" t="s">
        <v>244</v>
      </c>
      <c r="D462" s="12" t="s">
        <v>245</v>
      </c>
      <c r="E462" s="12" t="s">
        <v>246</v>
      </c>
      <c r="F462" s="12" t="s">
        <v>494</v>
      </c>
      <c r="G462" s="12">
        <v>407</v>
      </c>
      <c r="H462" s="12">
        <v>7</v>
      </c>
      <c r="I462" s="12">
        <v>4</v>
      </c>
      <c r="J462" s="12">
        <v>2</v>
      </c>
      <c r="K462" s="12">
        <v>20</v>
      </c>
      <c r="L462" s="13" t="s">
        <v>82</v>
      </c>
      <c r="M462" s="6" t="s">
        <v>658</v>
      </c>
      <c r="N462" s="12">
        <v>10.89</v>
      </c>
      <c r="O462" s="12">
        <v>16.3</v>
      </c>
      <c r="P462" s="12">
        <v>42.7</v>
      </c>
      <c r="Q462" s="26">
        <f t="shared" si="29"/>
        <v>10.357875</v>
      </c>
      <c r="R462" s="12">
        <v>813.79</v>
      </c>
      <c r="S462" s="12">
        <v>6905.96</v>
      </c>
      <c r="T462" s="12">
        <v>72.77</v>
      </c>
      <c r="U462" s="12">
        <v>61.04</v>
      </c>
      <c r="V462" s="12"/>
    </row>
    <row r="463" spans="1:22" x14ac:dyDescent="0.25">
      <c r="A463" s="12">
        <v>2024</v>
      </c>
      <c r="B463" s="12" t="s">
        <v>457</v>
      </c>
      <c r="C463" s="12" t="s">
        <v>244</v>
      </c>
      <c r="D463" s="12" t="s">
        <v>245</v>
      </c>
      <c r="E463" s="12" t="s">
        <v>246</v>
      </c>
      <c r="F463" s="12" t="s">
        <v>495</v>
      </c>
      <c r="G463" s="12">
        <v>408</v>
      </c>
      <c r="H463" s="12">
        <v>8</v>
      </c>
      <c r="I463" s="12">
        <v>4</v>
      </c>
      <c r="J463" s="12">
        <v>2</v>
      </c>
      <c r="K463" s="12">
        <v>11</v>
      </c>
      <c r="L463" s="13" t="s">
        <v>27</v>
      </c>
      <c r="M463" s="13" t="s">
        <v>30</v>
      </c>
      <c r="N463" s="12">
        <v>10.039999999999999</v>
      </c>
      <c r="O463" s="12">
        <v>15.8</v>
      </c>
      <c r="P463" s="12">
        <v>42.9</v>
      </c>
      <c r="Q463" s="26">
        <f t="shared" si="29"/>
        <v>9.6064545454545431</v>
      </c>
      <c r="R463" s="12">
        <v>754.75</v>
      </c>
      <c r="S463" s="12">
        <v>6404.96</v>
      </c>
      <c r="T463" s="12">
        <v>75.209999999999994</v>
      </c>
      <c r="U463" s="12">
        <v>65.45</v>
      </c>
      <c r="V463" s="12"/>
    </row>
    <row r="464" spans="1:22" x14ac:dyDescent="0.25">
      <c r="A464" s="12">
        <v>2024</v>
      </c>
      <c r="B464" s="12" t="s">
        <v>457</v>
      </c>
      <c r="C464" s="12" t="s">
        <v>244</v>
      </c>
      <c r="D464" s="12" t="s">
        <v>245</v>
      </c>
      <c r="E464" s="12" t="s">
        <v>246</v>
      </c>
      <c r="F464" s="12" t="s">
        <v>496</v>
      </c>
      <c r="G464" s="12">
        <v>409</v>
      </c>
      <c r="H464" s="12">
        <v>9</v>
      </c>
      <c r="I464" s="12">
        <v>4</v>
      </c>
      <c r="J464" s="12">
        <v>2</v>
      </c>
      <c r="K464" s="12">
        <v>4</v>
      </c>
      <c r="L464" s="13" t="s">
        <v>339</v>
      </c>
      <c r="M464" s="6" t="s">
        <v>658</v>
      </c>
      <c r="N464" s="12">
        <v>12.71</v>
      </c>
      <c r="O464" s="12">
        <v>20.5</v>
      </c>
      <c r="P464" s="12">
        <v>41.4</v>
      </c>
      <c r="Q464" s="26">
        <f t="shared" si="29"/>
        <v>11.482329545454547</v>
      </c>
      <c r="R464" s="12">
        <v>902.13</v>
      </c>
      <c r="S464" s="12">
        <v>7655.67</v>
      </c>
      <c r="T464" s="12">
        <v>71.319999999999993</v>
      </c>
      <c r="U464" s="12">
        <v>64.900000000000006</v>
      </c>
      <c r="V464" s="12"/>
    </row>
    <row r="465" spans="1:22" x14ac:dyDescent="0.25">
      <c r="A465" s="12">
        <v>2024</v>
      </c>
      <c r="B465" s="12" t="s">
        <v>457</v>
      </c>
      <c r="C465" s="12" t="s">
        <v>244</v>
      </c>
      <c r="D465" s="12" t="s">
        <v>245</v>
      </c>
      <c r="E465" s="12" t="s">
        <v>246</v>
      </c>
      <c r="F465" s="12" t="s">
        <v>497</v>
      </c>
      <c r="G465" s="12">
        <v>410</v>
      </c>
      <c r="H465" s="12">
        <v>10</v>
      </c>
      <c r="I465" s="12">
        <v>4</v>
      </c>
      <c r="J465" s="12">
        <v>2</v>
      </c>
      <c r="K465" s="12">
        <v>2</v>
      </c>
      <c r="L465" s="13" t="s">
        <v>100</v>
      </c>
      <c r="M465" s="13" t="s">
        <v>30</v>
      </c>
      <c r="N465" s="12">
        <v>12.3</v>
      </c>
      <c r="O465" s="12">
        <v>14.8</v>
      </c>
      <c r="P465" s="12">
        <v>43.5</v>
      </c>
      <c r="Q465" s="26">
        <f t="shared" si="29"/>
        <v>11.908636363636363</v>
      </c>
      <c r="R465" s="12">
        <v>935.63</v>
      </c>
      <c r="S465" s="12">
        <v>7939.9</v>
      </c>
      <c r="T465" s="12">
        <v>72.06</v>
      </c>
      <c r="U465" s="12">
        <v>53.56</v>
      </c>
      <c r="V465" s="12"/>
    </row>
    <row r="466" spans="1:22" x14ac:dyDescent="0.25">
      <c r="A466" s="12">
        <v>2024</v>
      </c>
      <c r="B466" s="12" t="s">
        <v>457</v>
      </c>
      <c r="C466" s="12" t="s">
        <v>244</v>
      </c>
      <c r="D466" s="12" t="s">
        <v>245</v>
      </c>
      <c r="E466" s="12" t="s">
        <v>246</v>
      </c>
      <c r="F466" s="12" t="s">
        <v>498</v>
      </c>
      <c r="G466" s="12">
        <v>501</v>
      </c>
      <c r="H466" s="12">
        <v>1</v>
      </c>
      <c r="I466" s="12">
        <v>5</v>
      </c>
      <c r="J466" s="12">
        <v>3</v>
      </c>
      <c r="K466" s="12">
        <v>12</v>
      </c>
      <c r="L466" s="13" t="s">
        <v>27</v>
      </c>
      <c r="M466" s="13" t="s">
        <v>53</v>
      </c>
      <c r="N466" s="12">
        <v>9.83</v>
      </c>
      <c r="O466" s="12">
        <v>17.7</v>
      </c>
      <c r="P466" s="12">
        <v>41.7</v>
      </c>
      <c r="Q466" s="26">
        <f t="shared" si="29"/>
        <v>9.1932840909090903</v>
      </c>
      <c r="R466" s="12">
        <v>722.29</v>
      </c>
      <c r="S466" s="12">
        <v>6129.48</v>
      </c>
      <c r="T466" s="12">
        <v>74.44</v>
      </c>
      <c r="U466" s="12">
        <v>65.77</v>
      </c>
      <c r="V466" s="12"/>
    </row>
    <row r="467" spans="1:22" x14ac:dyDescent="0.25">
      <c r="A467" s="12">
        <v>2024</v>
      </c>
      <c r="B467" s="12" t="s">
        <v>457</v>
      </c>
      <c r="C467" s="12" t="s">
        <v>244</v>
      </c>
      <c r="D467" s="12" t="s">
        <v>245</v>
      </c>
      <c r="E467" s="12" t="s">
        <v>246</v>
      </c>
      <c r="F467" s="12" t="s">
        <v>499</v>
      </c>
      <c r="G467" s="12">
        <v>502</v>
      </c>
      <c r="H467" s="12">
        <v>2</v>
      </c>
      <c r="I467" s="12">
        <v>5</v>
      </c>
      <c r="J467" s="12">
        <v>3</v>
      </c>
      <c r="K467" s="12">
        <v>10</v>
      </c>
      <c r="L467" s="13" t="s">
        <v>27</v>
      </c>
      <c r="M467" s="6" t="s">
        <v>658</v>
      </c>
      <c r="N467" s="12">
        <v>10.61</v>
      </c>
      <c r="O467" s="12">
        <v>17.100000000000001</v>
      </c>
      <c r="P467" s="12">
        <v>42.2</v>
      </c>
      <c r="Q467" s="26">
        <f t="shared" si="29"/>
        <v>9.9951022727272711</v>
      </c>
      <c r="R467" s="12">
        <v>785.29</v>
      </c>
      <c r="S467" s="12">
        <v>6664.08</v>
      </c>
      <c r="T467" s="12">
        <v>75.12</v>
      </c>
      <c r="U467" s="12">
        <v>64.319999999999993</v>
      </c>
      <c r="V467" s="12"/>
    </row>
    <row r="468" spans="1:22" x14ac:dyDescent="0.25">
      <c r="A468" s="12">
        <v>2024</v>
      </c>
      <c r="B468" s="12" t="s">
        <v>457</v>
      </c>
      <c r="C468" s="12" t="s">
        <v>244</v>
      </c>
      <c r="D468" s="12" t="s">
        <v>245</v>
      </c>
      <c r="E468" s="12" t="s">
        <v>246</v>
      </c>
      <c r="F468" s="12" t="s">
        <v>500</v>
      </c>
      <c r="G468" s="12">
        <v>503</v>
      </c>
      <c r="H468" s="12">
        <v>3</v>
      </c>
      <c r="I468" s="12">
        <v>5</v>
      </c>
      <c r="J468" s="12">
        <v>3</v>
      </c>
      <c r="K468" s="12">
        <v>16</v>
      </c>
      <c r="L468" s="13" t="s">
        <v>42</v>
      </c>
      <c r="M468" s="6" t="s">
        <v>658</v>
      </c>
      <c r="N468" s="12">
        <v>9.6300000000000008</v>
      </c>
      <c r="O468" s="12">
        <v>16.5</v>
      </c>
      <c r="P468" s="12">
        <v>42.5</v>
      </c>
      <c r="Q468" s="26">
        <f t="shared" si="29"/>
        <v>9.1375568181818192</v>
      </c>
      <c r="R468" s="12">
        <v>717.91</v>
      </c>
      <c r="S468" s="12">
        <v>6092.33</v>
      </c>
      <c r="T468" s="12">
        <v>73.739999999999995</v>
      </c>
      <c r="U468" s="12">
        <v>64.900000000000006</v>
      </c>
      <c r="V468" s="12"/>
    </row>
    <row r="469" spans="1:22" x14ac:dyDescent="0.25">
      <c r="A469" s="12">
        <v>2024</v>
      </c>
      <c r="B469" s="12" t="s">
        <v>457</v>
      </c>
      <c r="C469" s="12" t="s">
        <v>244</v>
      </c>
      <c r="D469" s="12" t="s">
        <v>245</v>
      </c>
      <c r="E469" s="12" t="s">
        <v>246</v>
      </c>
      <c r="F469" s="12" t="s">
        <v>501</v>
      </c>
      <c r="G469" s="12">
        <v>504</v>
      </c>
      <c r="H469" s="12">
        <v>4</v>
      </c>
      <c r="I469" s="12">
        <v>5</v>
      </c>
      <c r="J469" s="12">
        <v>3</v>
      </c>
      <c r="K469" s="12">
        <v>9</v>
      </c>
      <c r="L469" s="13" t="s">
        <v>69</v>
      </c>
      <c r="M469" s="13" t="s">
        <v>53</v>
      </c>
      <c r="N469" s="12">
        <v>13.48</v>
      </c>
      <c r="O469" s="12">
        <v>14.6</v>
      </c>
      <c r="P469" s="12">
        <v>43.6</v>
      </c>
      <c r="Q469" s="26">
        <f t="shared" si="29"/>
        <v>13.081727272727273</v>
      </c>
      <c r="R469" s="12">
        <v>1027.79</v>
      </c>
      <c r="S469" s="12">
        <v>8722.0499999999993</v>
      </c>
      <c r="T469" s="12">
        <v>72.5</v>
      </c>
      <c r="U469" s="12">
        <v>54.59</v>
      </c>
      <c r="V469" s="12"/>
    </row>
    <row r="470" spans="1:22" x14ac:dyDescent="0.25">
      <c r="A470" s="12">
        <v>2024</v>
      </c>
      <c r="B470" s="12" t="s">
        <v>457</v>
      </c>
      <c r="C470" s="12" t="s">
        <v>244</v>
      </c>
      <c r="D470" s="12" t="s">
        <v>245</v>
      </c>
      <c r="E470" s="12" t="s">
        <v>246</v>
      </c>
      <c r="F470" s="12" t="s">
        <v>502</v>
      </c>
      <c r="G470" s="12">
        <v>505</v>
      </c>
      <c r="H470" s="12">
        <v>5</v>
      </c>
      <c r="I470" s="12">
        <v>5</v>
      </c>
      <c r="J470" s="12">
        <v>3</v>
      </c>
      <c r="K470" s="12">
        <v>6</v>
      </c>
      <c r="L470" s="13" t="s">
        <v>339</v>
      </c>
      <c r="M470" s="13" t="s">
        <v>53</v>
      </c>
      <c r="N470" s="12">
        <v>12.63</v>
      </c>
      <c r="O470" s="12">
        <v>21.9</v>
      </c>
      <c r="P470" s="12">
        <v>40.799999999999997</v>
      </c>
      <c r="Q470" s="26">
        <f t="shared" si="29"/>
        <v>11.209125000000002</v>
      </c>
      <c r="R470" s="12">
        <v>880.67</v>
      </c>
      <c r="S470" s="12">
        <v>7473.52</v>
      </c>
      <c r="T470" s="12">
        <v>71.02</v>
      </c>
      <c r="U470" s="12">
        <v>64.58</v>
      </c>
      <c r="V470" s="12"/>
    </row>
    <row r="471" spans="1:22" x14ac:dyDescent="0.25">
      <c r="A471" s="12">
        <v>2024</v>
      </c>
      <c r="B471" s="12" t="s">
        <v>457</v>
      </c>
      <c r="C471" s="12" t="s">
        <v>244</v>
      </c>
      <c r="D471" s="12" t="s">
        <v>245</v>
      </c>
      <c r="E471" s="12" t="s">
        <v>246</v>
      </c>
      <c r="F471" s="12" t="s">
        <v>503</v>
      </c>
      <c r="G471" s="12">
        <v>506</v>
      </c>
      <c r="H471" s="12">
        <v>6</v>
      </c>
      <c r="I471" s="12">
        <v>5</v>
      </c>
      <c r="J471" s="12">
        <v>3</v>
      </c>
      <c r="K471" s="12">
        <v>13</v>
      </c>
      <c r="L471" s="13" t="s">
        <v>336</v>
      </c>
      <c r="M471" s="6" t="s">
        <v>658</v>
      </c>
      <c r="N471" s="12">
        <v>13.18</v>
      </c>
      <c r="O471" s="12">
        <v>16.2</v>
      </c>
      <c r="P471" s="12">
        <v>42.5</v>
      </c>
      <c r="Q471" s="26">
        <f t="shared" si="29"/>
        <v>12.550954545454545</v>
      </c>
      <c r="R471" s="12">
        <v>986.09</v>
      </c>
      <c r="S471" s="12">
        <v>8368.16</v>
      </c>
      <c r="T471" s="12">
        <v>70</v>
      </c>
      <c r="U471" s="12">
        <v>52.87</v>
      </c>
      <c r="V471" s="12"/>
    </row>
    <row r="472" spans="1:22" x14ac:dyDescent="0.25">
      <c r="A472" s="12">
        <v>2024</v>
      </c>
      <c r="B472" s="12" t="s">
        <v>457</v>
      </c>
      <c r="C472" s="12" t="s">
        <v>244</v>
      </c>
      <c r="D472" s="12" t="s">
        <v>245</v>
      </c>
      <c r="E472" s="12" t="s">
        <v>246</v>
      </c>
      <c r="F472" s="12" t="s">
        <v>504</v>
      </c>
      <c r="G472" s="12">
        <v>507</v>
      </c>
      <c r="H472" s="12">
        <v>7</v>
      </c>
      <c r="I472" s="12">
        <v>5</v>
      </c>
      <c r="J472" s="12">
        <v>3</v>
      </c>
      <c r="K472" s="12">
        <v>5</v>
      </c>
      <c r="L472" s="13" t="s">
        <v>339</v>
      </c>
      <c r="M472" s="13" t="s">
        <v>30</v>
      </c>
      <c r="N472" s="12">
        <v>12</v>
      </c>
      <c r="O472" s="12">
        <v>20.399999999999999</v>
      </c>
      <c r="P472" s="12">
        <v>41.3</v>
      </c>
      <c r="Q472" s="26">
        <f t="shared" si="29"/>
        <v>10.854545454545454</v>
      </c>
      <c r="R472" s="12">
        <v>852.81</v>
      </c>
      <c r="S472" s="12">
        <v>7237.11</v>
      </c>
      <c r="T472" s="12">
        <v>70.930000000000007</v>
      </c>
      <c r="U472" s="12">
        <v>63.4</v>
      </c>
      <c r="V472" s="12"/>
    </row>
    <row r="473" spans="1:22" x14ac:dyDescent="0.25">
      <c r="A473" s="12">
        <v>2024</v>
      </c>
      <c r="B473" s="12" t="s">
        <v>457</v>
      </c>
      <c r="C473" s="12" t="s">
        <v>244</v>
      </c>
      <c r="D473" s="12" t="s">
        <v>245</v>
      </c>
      <c r="E473" s="12" t="s">
        <v>246</v>
      </c>
      <c r="F473" s="12" t="s">
        <v>505</v>
      </c>
      <c r="G473" s="12">
        <v>508</v>
      </c>
      <c r="H473" s="12">
        <v>8</v>
      </c>
      <c r="I473" s="12">
        <v>5</v>
      </c>
      <c r="J473" s="12">
        <v>3</v>
      </c>
      <c r="K473" s="12">
        <v>20</v>
      </c>
      <c r="L473" s="13" t="s">
        <v>82</v>
      </c>
      <c r="M473" s="6" t="s">
        <v>658</v>
      </c>
      <c r="N473" s="12">
        <v>12</v>
      </c>
      <c r="O473" s="12">
        <v>14.9</v>
      </c>
      <c r="P473" s="12">
        <v>43.5</v>
      </c>
      <c r="Q473" s="26">
        <f t="shared" si="29"/>
        <v>11.604545454545454</v>
      </c>
      <c r="R473" s="12">
        <v>911.73</v>
      </c>
      <c r="S473" s="12">
        <v>7737.16</v>
      </c>
      <c r="T473" s="12">
        <v>72.48</v>
      </c>
      <c r="U473" s="12">
        <v>59.66</v>
      </c>
      <c r="V473" s="12"/>
    </row>
    <row r="474" spans="1:22" x14ac:dyDescent="0.25">
      <c r="A474" s="12">
        <v>2024</v>
      </c>
      <c r="B474" s="12" t="s">
        <v>457</v>
      </c>
      <c r="C474" s="12" t="s">
        <v>244</v>
      </c>
      <c r="D474" s="12" t="s">
        <v>245</v>
      </c>
      <c r="E474" s="12" t="s">
        <v>246</v>
      </c>
      <c r="F474" s="12" t="s">
        <v>506</v>
      </c>
      <c r="G474" s="12">
        <v>509</v>
      </c>
      <c r="H474" s="12">
        <v>9</v>
      </c>
      <c r="I474" s="12">
        <v>5</v>
      </c>
      <c r="J474" s="12">
        <v>3</v>
      </c>
      <c r="K474" s="12">
        <v>11</v>
      </c>
      <c r="L474" s="13" t="s">
        <v>27</v>
      </c>
      <c r="M474" s="13" t="s">
        <v>30</v>
      </c>
      <c r="N474" s="12">
        <v>10.199999999999999</v>
      </c>
      <c r="O474" s="12">
        <v>16.600000000000001</v>
      </c>
      <c r="P474" s="12">
        <v>42.6</v>
      </c>
      <c r="Q474" s="26">
        <f t="shared" si="29"/>
        <v>9.6668181818181793</v>
      </c>
      <c r="R474" s="12">
        <v>759.49</v>
      </c>
      <c r="S474" s="12">
        <v>6445.21</v>
      </c>
      <c r="T474" s="12">
        <v>73.8</v>
      </c>
      <c r="U474" s="12">
        <v>62.21</v>
      </c>
      <c r="V474" s="12"/>
    </row>
    <row r="475" spans="1:22" x14ac:dyDescent="0.25">
      <c r="A475" s="12">
        <v>2024</v>
      </c>
      <c r="B475" s="12" t="s">
        <v>457</v>
      </c>
      <c r="C475" s="12" t="s">
        <v>244</v>
      </c>
      <c r="D475" s="12" t="s">
        <v>245</v>
      </c>
      <c r="E475" s="12" t="s">
        <v>246</v>
      </c>
      <c r="F475" s="12" t="s">
        <v>507</v>
      </c>
      <c r="G475" s="12">
        <v>510</v>
      </c>
      <c r="H475" s="12">
        <v>10</v>
      </c>
      <c r="I475" s="12">
        <v>5</v>
      </c>
      <c r="J475" s="12">
        <v>3</v>
      </c>
      <c r="K475" s="12">
        <v>19</v>
      </c>
      <c r="L475" s="13" t="s">
        <v>113</v>
      </c>
      <c r="M475" s="6" t="s">
        <v>658</v>
      </c>
      <c r="N475" s="12">
        <v>12.89</v>
      </c>
      <c r="O475" s="12">
        <v>15.7</v>
      </c>
      <c r="P475" s="12">
        <v>43.1</v>
      </c>
      <c r="Q475" s="26">
        <f t="shared" si="29"/>
        <v>12.34803409090909</v>
      </c>
      <c r="R475" s="12">
        <v>970.15</v>
      </c>
      <c r="S475" s="12">
        <v>8232.8700000000008</v>
      </c>
      <c r="T475" s="12">
        <v>71.11</v>
      </c>
      <c r="U475" s="12">
        <v>59.44</v>
      </c>
      <c r="V475" s="12"/>
    </row>
    <row r="476" spans="1:22" x14ac:dyDescent="0.25">
      <c r="A476" s="12">
        <v>2024</v>
      </c>
      <c r="B476" s="12" t="s">
        <v>457</v>
      </c>
      <c r="C476" s="12" t="s">
        <v>244</v>
      </c>
      <c r="D476" s="12" t="s">
        <v>245</v>
      </c>
      <c r="E476" s="12" t="s">
        <v>246</v>
      </c>
      <c r="F476" s="12" t="s">
        <v>508</v>
      </c>
      <c r="G476" s="12">
        <v>601</v>
      </c>
      <c r="H476" s="12">
        <v>1</v>
      </c>
      <c r="I476" s="12">
        <v>6</v>
      </c>
      <c r="J476" s="12">
        <v>3</v>
      </c>
      <c r="K476" s="12">
        <v>17</v>
      </c>
      <c r="L476" s="13" t="s">
        <v>42</v>
      </c>
      <c r="M476" s="13" t="s">
        <v>30</v>
      </c>
      <c r="N476" s="12">
        <v>8.94</v>
      </c>
      <c r="O476" s="12">
        <v>17.5</v>
      </c>
      <c r="P476" s="12">
        <v>42</v>
      </c>
      <c r="Q476" s="26">
        <f t="shared" si="29"/>
        <v>8.3812499999999979</v>
      </c>
      <c r="R476" s="12">
        <v>658.49</v>
      </c>
      <c r="S476" s="12">
        <v>5588.07</v>
      </c>
      <c r="T476" s="12">
        <v>73.55</v>
      </c>
      <c r="U476" s="12">
        <v>65.14</v>
      </c>
      <c r="V476" s="12"/>
    </row>
    <row r="477" spans="1:22" x14ac:dyDescent="0.25">
      <c r="A477" s="12">
        <v>2024</v>
      </c>
      <c r="B477" s="12" t="s">
        <v>457</v>
      </c>
      <c r="C477" s="12" t="s">
        <v>244</v>
      </c>
      <c r="D477" s="12" t="s">
        <v>245</v>
      </c>
      <c r="E477" s="12" t="s">
        <v>246</v>
      </c>
      <c r="F477" s="12" t="s">
        <v>509</v>
      </c>
      <c r="G477" s="12">
        <v>602</v>
      </c>
      <c r="H477" s="12">
        <v>2</v>
      </c>
      <c r="I477" s="12">
        <v>6</v>
      </c>
      <c r="J477" s="12">
        <v>3</v>
      </c>
      <c r="K477" s="12">
        <v>4</v>
      </c>
      <c r="L477" s="13" t="s">
        <v>339</v>
      </c>
      <c r="M477" s="6" t="s">
        <v>658</v>
      </c>
      <c r="N477" s="12">
        <v>15.95</v>
      </c>
      <c r="O477" s="12">
        <v>23.1</v>
      </c>
      <c r="P477" s="12">
        <v>39.9</v>
      </c>
      <c r="Q477" s="26">
        <f t="shared" si="29"/>
        <v>13.938124999999999</v>
      </c>
      <c r="R477" s="12">
        <v>1095.08</v>
      </c>
      <c r="S477" s="12">
        <v>9293.0400000000009</v>
      </c>
      <c r="T477" s="12">
        <v>71.42</v>
      </c>
      <c r="U477" s="12">
        <v>64.56</v>
      </c>
      <c r="V477" s="12"/>
    </row>
    <row r="478" spans="1:22" x14ac:dyDescent="0.25">
      <c r="A478" s="12">
        <v>2024</v>
      </c>
      <c r="B478" s="12" t="s">
        <v>457</v>
      </c>
      <c r="C478" s="12" t="s">
        <v>244</v>
      </c>
      <c r="D478" s="12" t="s">
        <v>245</v>
      </c>
      <c r="E478" s="12" t="s">
        <v>246</v>
      </c>
      <c r="F478" s="12" t="s">
        <v>510</v>
      </c>
      <c r="G478" s="12">
        <v>603</v>
      </c>
      <c r="H478" s="12">
        <v>3</v>
      </c>
      <c r="I478" s="12">
        <v>6</v>
      </c>
      <c r="J478" s="12">
        <v>3</v>
      </c>
      <c r="K478" s="12">
        <v>18</v>
      </c>
      <c r="L478" s="13" t="s">
        <v>42</v>
      </c>
      <c r="M478" s="13" t="s">
        <v>53</v>
      </c>
      <c r="N478" s="12">
        <v>9.02</v>
      </c>
      <c r="O478" s="12">
        <v>16.2</v>
      </c>
      <c r="P478" s="12">
        <v>42.8</v>
      </c>
      <c r="Q478" s="26">
        <f t="shared" si="29"/>
        <v>8.5894999999999992</v>
      </c>
      <c r="R478" s="12">
        <v>674.85</v>
      </c>
      <c r="S478" s="12">
        <v>5726.92</v>
      </c>
      <c r="T478" s="12">
        <v>73.69</v>
      </c>
      <c r="U478" s="12">
        <v>65.17</v>
      </c>
      <c r="V478" s="12"/>
    </row>
    <row r="479" spans="1:22" x14ac:dyDescent="0.25">
      <c r="A479" s="12">
        <v>2024</v>
      </c>
      <c r="B479" s="12" t="s">
        <v>457</v>
      </c>
      <c r="C479" s="12" t="s">
        <v>244</v>
      </c>
      <c r="D479" s="12" t="s">
        <v>245</v>
      </c>
      <c r="E479" s="12" t="s">
        <v>246</v>
      </c>
      <c r="F479" s="12" t="s">
        <v>511</v>
      </c>
      <c r="G479" s="12">
        <v>604</v>
      </c>
      <c r="H479" s="12">
        <v>4</v>
      </c>
      <c r="I479" s="12">
        <v>6</v>
      </c>
      <c r="J479" s="12">
        <v>3</v>
      </c>
      <c r="K479" s="12">
        <v>1</v>
      </c>
      <c r="L479" s="13" t="s">
        <v>100</v>
      </c>
      <c r="M479" s="6" t="s">
        <v>658</v>
      </c>
      <c r="N479" s="12">
        <v>11.86</v>
      </c>
      <c r="O479" s="12">
        <v>16.2</v>
      </c>
      <c r="P479" s="12">
        <v>42.5</v>
      </c>
      <c r="Q479" s="26">
        <f t="shared" si="29"/>
        <v>11.293954545454545</v>
      </c>
      <c r="R479" s="12">
        <v>887.33</v>
      </c>
      <c r="S479" s="12">
        <v>7530.07</v>
      </c>
      <c r="T479" s="12">
        <v>72.97</v>
      </c>
      <c r="U479" s="12">
        <v>56.44</v>
      </c>
      <c r="V479" s="12"/>
    </row>
    <row r="480" spans="1:22" x14ac:dyDescent="0.25">
      <c r="A480" s="12">
        <v>2024</v>
      </c>
      <c r="B480" s="12" t="s">
        <v>457</v>
      </c>
      <c r="C480" s="12" t="s">
        <v>244</v>
      </c>
      <c r="D480" s="12" t="s">
        <v>245</v>
      </c>
      <c r="E480" s="12" t="s">
        <v>246</v>
      </c>
      <c r="F480" s="12" t="s">
        <v>512</v>
      </c>
      <c r="G480" s="12">
        <v>605</v>
      </c>
      <c r="H480" s="12">
        <v>5</v>
      </c>
      <c r="I480" s="12">
        <v>6</v>
      </c>
      <c r="J480" s="12">
        <v>3</v>
      </c>
      <c r="K480" s="12">
        <v>3</v>
      </c>
      <c r="L480" s="13" t="s">
        <v>100</v>
      </c>
      <c r="M480" s="13" t="s">
        <v>53</v>
      </c>
      <c r="N480" s="12">
        <v>11.25</v>
      </c>
      <c r="O480" s="12">
        <v>16.899999999999999</v>
      </c>
      <c r="P480" s="12">
        <v>42.3</v>
      </c>
      <c r="Q480" s="26">
        <f t="shared" si="29"/>
        <v>10.623579545454545</v>
      </c>
      <c r="R480" s="12">
        <v>834.66</v>
      </c>
      <c r="S480" s="12">
        <v>7083.11</v>
      </c>
      <c r="T480" s="12">
        <v>71.75</v>
      </c>
      <c r="U480" s="12">
        <v>51.24</v>
      </c>
      <c r="V480" s="12"/>
    </row>
    <row r="481" spans="1:22" x14ac:dyDescent="0.25">
      <c r="A481" s="12">
        <v>2024</v>
      </c>
      <c r="B481" s="12" t="s">
        <v>457</v>
      </c>
      <c r="C481" s="12" t="s">
        <v>244</v>
      </c>
      <c r="D481" s="12" t="s">
        <v>245</v>
      </c>
      <c r="E481" s="12" t="s">
        <v>246</v>
      </c>
      <c r="F481" s="12" t="s">
        <v>513</v>
      </c>
      <c r="G481" s="12">
        <v>606</v>
      </c>
      <c r="H481" s="12">
        <v>6</v>
      </c>
      <c r="I481" s="12">
        <v>6</v>
      </c>
      <c r="J481" s="12">
        <v>3</v>
      </c>
      <c r="K481" s="12">
        <v>7</v>
      </c>
      <c r="L481" s="13" t="s">
        <v>69</v>
      </c>
      <c r="M481" s="6" t="s">
        <v>658</v>
      </c>
      <c r="N481" s="12">
        <v>11.2</v>
      </c>
      <c r="O481" s="12">
        <v>13.1</v>
      </c>
      <c r="P481" s="12">
        <v>44.3</v>
      </c>
      <c r="Q481" s="26">
        <f t="shared" si="29"/>
        <v>11.059999999999999</v>
      </c>
      <c r="R481" s="12">
        <v>868.95</v>
      </c>
      <c r="S481" s="12">
        <v>7374.09</v>
      </c>
      <c r="T481" s="12">
        <v>70.67</v>
      </c>
      <c r="U481" s="12">
        <v>47.3</v>
      </c>
      <c r="V481" s="12"/>
    </row>
    <row r="482" spans="1:22" x14ac:dyDescent="0.25">
      <c r="A482" s="12">
        <v>2024</v>
      </c>
      <c r="B482" s="12" t="s">
        <v>457</v>
      </c>
      <c r="C482" s="12" t="s">
        <v>244</v>
      </c>
      <c r="D482" s="12" t="s">
        <v>245</v>
      </c>
      <c r="E482" s="12" t="s">
        <v>246</v>
      </c>
      <c r="F482" s="12" t="s">
        <v>514</v>
      </c>
      <c r="G482" s="12">
        <v>607</v>
      </c>
      <c r="H482" s="12">
        <v>7</v>
      </c>
      <c r="I482" s="12">
        <v>6</v>
      </c>
      <c r="J482" s="12">
        <v>3</v>
      </c>
      <c r="K482" s="12">
        <v>2</v>
      </c>
      <c r="L482" s="13" t="s">
        <v>100</v>
      </c>
      <c r="M482" s="13" t="s">
        <v>30</v>
      </c>
      <c r="N482" s="12">
        <v>11.18</v>
      </c>
      <c r="O482" s="12">
        <v>15.8</v>
      </c>
      <c r="P482" s="12">
        <v>42.7</v>
      </c>
      <c r="Q482" s="26">
        <f t="shared" si="29"/>
        <v>10.697227272727272</v>
      </c>
      <c r="R482" s="12">
        <v>840.45</v>
      </c>
      <c r="S482" s="12">
        <v>7132.22</v>
      </c>
      <c r="T482" s="12">
        <v>71.67</v>
      </c>
      <c r="U482" s="12">
        <v>51.94</v>
      </c>
      <c r="V482" s="12"/>
    </row>
    <row r="483" spans="1:22" x14ac:dyDescent="0.25">
      <c r="A483" s="12">
        <v>2024</v>
      </c>
      <c r="B483" s="12" t="s">
        <v>457</v>
      </c>
      <c r="C483" s="12" t="s">
        <v>244</v>
      </c>
      <c r="D483" s="12" t="s">
        <v>245</v>
      </c>
      <c r="E483" s="12" t="s">
        <v>246</v>
      </c>
      <c r="F483" s="12" t="s">
        <v>515</v>
      </c>
      <c r="G483" s="12">
        <v>608</v>
      </c>
      <c r="H483" s="12">
        <v>8</v>
      </c>
      <c r="I483" s="12">
        <v>6</v>
      </c>
      <c r="J483" s="12">
        <v>3</v>
      </c>
      <c r="K483" s="12">
        <v>8</v>
      </c>
      <c r="L483" s="13" t="s">
        <v>69</v>
      </c>
      <c r="M483" s="13" t="s">
        <v>30</v>
      </c>
      <c r="N483" s="12">
        <v>13.28</v>
      </c>
      <c r="O483" s="12">
        <v>14.8</v>
      </c>
      <c r="P483" s="12">
        <v>43.3</v>
      </c>
      <c r="Q483" s="26">
        <f t="shared" si="29"/>
        <v>12.857454545454544</v>
      </c>
      <c r="R483" s="12">
        <v>1010.17</v>
      </c>
      <c r="S483" s="12">
        <v>8572.51</v>
      </c>
      <c r="T483" s="12">
        <v>71.89</v>
      </c>
      <c r="U483" s="12">
        <v>53.03</v>
      </c>
      <c r="V483" s="12"/>
    </row>
    <row r="484" spans="1:22" x14ac:dyDescent="0.25">
      <c r="A484" s="12">
        <v>2024</v>
      </c>
      <c r="B484" s="12" t="s">
        <v>457</v>
      </c>
      <c r="C484" s="12" t="s">
        <v>244</v>
      </c>
      <c r="D484" s="12" t="s">
        <v>245</v>
      </c>
      <c r="E484" s="12" t="s">
        <v>246</v>
      </c>
      <c r="F484" s="12" t="s">
        <v>516</v>
      </c>
      <c r="G484" s="12">
        <v>609</v>
      </c>
      <c r="H484" s="12">
        <v>9</v>
      </c>
      <c r="I484" s="12">
        <v>6</v>
      </c>
      <c r="J484" s="12">
        <v>3</v>
      </c>
      <c r="K484" s="12">
        <v>15</v>
      </c>
      <c r="L484" s="13" t="s">
        <v>336</v>
      </c>
      <c r="M484" s="13" t="s">
        <v>53</v>
      </c>
      <c r="N484" s="12">
        <v>12.55</v>
      </c>
      <c r="O484" s="12">
        <v>16.5</v>
      </c>
      <c r="P484" s="12">
        <v>42.3</v>
      </c>
      <c r="Q484" s="26">
        <f t="shared" si="29"/>
        <v>11.908238636363636</v>
      </c>
      <c r="R484" s="12">
        <v>935.6</v>
      </c>
      <c r="S484" s="12">
        <v>7939.64</v>
      </c>
      <c r="T484" s="12">
        <v>70.760000000000005</v>
      </c>
      <c r="U484" s="12">
        <v>55.47</v>
      </c>
      <c r="V484" s="12"/>
    </row>
    <row r="485" spans="1:22" x14ac:dyDescent="0.25">
      <c r="A485" s="12">
        <v>2024</v>
      </c>
      <c r="B485" s="12" t="s">
        <v>457</v>
      </c>
      <c r="C485" s="12" t="s">
        <v>244</v>
      </c>
      <c r="D485" s="12" t="s">
        <v>245</v>
      </c>
      <c r="E485" s="12" t="s">
        <v>246</v>
      </c>
      <c r="F485" s="12" t="s">
        <v>517</v>
      </c>
      <c r="G485" s="12">
        <v>610</v>
      </c>
      <c r="H485" s="12">
        <v>10</v>
      </c>
      <c r="I485" s="12">
        <v>6</v>
      </c>
      <c r="J485" s="12">
        <v>3</v>
      </c>
      <c r="K485" s="12">
        <v>14</v>
      </c>
      <c r="L485" s="13" t="s">
        <v>336</v>
      </c>
      <c r="M485" s="13" t="s">
        <v>30</v>
      </c>
      <c r="N485" s="12">
        <v>13.52</v>
      </c>
      <c r="O485" s="12">
        <v>16.399999999999999</v>
      </c>
      <c r="P485" s="12">
        <v>42.4</v>
      </c>
      <c r="Q485" s="26">
        <f t="shared" si="29"/>
        <v>12.844000000000001</v>
      </c>
      <c r="R485" s="12">
        <v>1009.12</v>
      </c>
      <c r="S485" s="12">
        <v>8563.5400000000009</v>
      </c>
      <c r="T485" s="12">
        <v>70.959999999999994</v>
      </c>
      <c r="U485" s="12">
        <v>56.32</v>
      </c>
      <c r="V485" s="12"/>
    </row>
    <row r="486" spans="1:22" x14ac:dyDescent="0.25">
      <c r="A486" s="12">
        <v>2024</v>
      </c>
      <c r="B486" s="12" t="s">
        <v>457</v>
      </c>
      <c r="C486" s="12" t="s">
        <v>244</v>
      </c>
      <c r="D486" s="12" t="s">
        <v>245</v>
      </c>
      <c r="E486" s="12" t="s">
        <v>246</v>
      </c>
      <c r="F486" s="12" t="s">
        <v>518</v>
      </c>
      <c r="G486" s="12">
        <v>701</v>
      </c>
      <c r="H486" s="12">
        <v>1</v>
      </c>
      <c r="I486" s="12">
        <v>7</v>
      </c>
      <c r="J486" s="12">
        <v>4</v>
      </c>
      <c r="K486" s="12">
        <v>7</v>
      </c>
      <c r="L486" s="13" t="s">
        <v>69</v>
      </c>
      <c r="M486" s="6" t="s">
        <v>658</v>
      </c>
      <c r="N486" s="12">
        <v>9.81</v>
      </c>
      <c r="O486" s="12">
        <v>14.4</v>
      </c>
      <c r="P486" s="12">
        <v>43.5</v>
      </c>
      <c r="Q486" s="26">
        <f t="shared" si="29"/>
        <v>9.5424545454545466</v>
      </c>
      <c r="R486" s="12">
        <v>749.72</v>
      </c>
      <c r="S486" s="12">
        <v>6362.29</v>
      </c>
      <c r="T486" s="12">
        <v>72.22</v>
      </c>
      <c r="U486" s="12">
        <v>50.87</v>
      </c>
      <c r="V486" s="12"/>
    </row>
    <row r="487" spans="1:22" x14ac:dyDescent="0.25">
      <c r="A487" s="12">
        <v>2024</v>
      </c>
      <c r="B487" s="12" t="s">
        <v>457</v>
      </c>
      <c r="C487" s="12" t="s">
        <v>244</v>
      </c>
      <c r="D487" s="12" t="s">
        <v>245</v>
      </c>
      <c r="E487" s="12" t="s">
        <v>246</v>
      </c>
      <c r="F487" s="12" t="s">
        <v>519</v>
      </c>
      <c r="G487" s="12">
        <v>702</v>
      </c>
      <c r="H487" s="12">
        <v>2</v>
      </c>
      <c r="I487" s="12">
        <v>7</v>
      </c>
      <c r="J487" s="12">
        <v>4</v>
      </c>
      <c r="K487" s="12">
        <v>1</v>
      </c>
      <c r="L487" s="13" t="s">
        <v>100</v>
      </c>
      <c r="M487" s="6" t="s">
        <v>658</v>
      </c>
      <c r="N487" s="12">
        <v>12.34</v>
      </c>
      <c r="O487" s="12">
        <v>15.9</v>
      </c>
      <c r="P487" s="12">
        <v>42.5</v>
      </c>
      <c r="Q487" s="26">
        <f t="shared" si="29"/>
        <v>11.793113636363636</v>
      </c>
      <c r="R487" s="12">
        <v>926.55</v>
      </c>
      <c r="S487" s="12">
        <v>7862.88</v>
      </c>
      <c r="T487" s="12">
        <v>72.599999999999994</v>
      </c>
      <c r="U487" s="12">
        <v>54.54</v>
      </c>
      <c r="V487" s="12"/>
    </row>
    <row r="488" spans="1:22" x14ac:dyDescent="0.25">
      <c r="A488" s="12">
        <v>2024</v>
      </c>
      <c r="B488" s="12" t="s">
        <v>457</v>
      </c>
      <c r="C488" s="12" t="s">
        <v>244</v>
      </c>
      <c r="D488" s="12" t="s">
        <v>245</v>
      </c>
      <c r="E488" s="12" t="s">
        <v>246</v>
      </c>
      <c r="F488" s="12" t="s">
        <v>520</v>
      </c>
      <c r="G488" s="12">
        <v>703</v>
      </c>
      <c r="H488" s="12">
        <v>3</v>
      </c>
      <c r="I488" s="12">
        <v>7</v>
      </c>
      <c r="J488" s="12">
        <v>4</v>
      </c>
      <c r="K488" s="12">
        <v>10</v>
      </c>
      <c r="L488" s="13" t="s">
        <v>27</v>
      </c>
      <c r="M488" s="6" t="s">
        <v>658</v>
      </c>
      <c r="N488" s="12">
        <v>10.11</v>
      </c>
      <c r="O488" s="12">
        <v>15.7</v>
      </c>
      <c r="P488" s="12">
        <v>43</v>
      </c>
      <c r="Q488" s="26">
        <f t="shared" si="29"/>
        <v>9.6849204545454537</v>
      </c>
      <c r="R488" s="12">
        <v>760.92</v>
      </c>
      <c r="S488" s="12">
        <v>6457.28</v>
      </c>
      <c r="T488" s="12">
        <v>75.680000000000007</v>
      </c>
      <c r="U488" s="12">
        <v>66.099999999999994</v>
      </c>
      <c r="V488" s="12"/>
    </row>
    <row r="489" spans="1:22" x14ac:dyDescent="0.25">
      <c r="A489" s="12">
        <v>2024</v>
      </c>
      <c r="B489" s="12" t="s">
        <v>457</v>
      </c>
      <c r="C489" s="12" t="s">
        <v>244</v>
      </c>
      <c r="D489" s="12" t="s">
        <v>245</v>
      </c>
      <c r="E489" s="12" t="s">
        <v>246</v>
      </c>
      <c r="F489" s="12" t="s">
        <v>521</v>
      </c>
      <c r="G489" s="12">
        <v>704</v>
      </c>
      <c r="H489" s="12">
        <v>4</v>
      </c>
      <c r="I489" s="12">
        <v>7</v>
      </c>
      <c r="J489" s="12">
        <v>4</v>
      </c>
      <c r="K489" s="12">
        <v>11</v>
      </c>
      <c r="L489" s="13" t="s">
        <v>27</v>
      </c>
      <c r="M489" s="13" t="s">
        <v>30</v>
      </c>
      <c r="N489" s="12">
        <v>10.98</v>
      </c>
      <c r="O489" s="12">
        <v>17.3</v>
      </c>
      <c r="P489" s="12">
        <v>42.1</v>
      </c>
      <c r="Q489" s="26">
        <f t="shared" si="29"/>
        <v>10.318704545454546</v>
      </c>
      <c r="R489" s="12">
        <v>810.71</v>
      </c>
      <c r="S489" s="12">
        <v>6879.84</v>
      </c>
      <c r="T489" s="12">
        <v>74.92</v>
      </c>
      <c r="U489" s="12">
        <v>63.91</v>
      </c>
      <c r="V489" s="12"/>
    </row>
    <row r="490" spans="1:22" x14ac:dyDescent="0.25">
      <c r="A490" s="12">
        <v>2024</v>
      </c>
      <c r="B490" s="12" t="s">
        <v>457</v>
      </c>
      <c r="C490" s="12" t="s">
        <v>244</v>
      </c>
      <c r="D490" s="12" t="s">
        <v>245</v>
      </c>
      <c r="E490" s="12" t="s">
        <v>246</v>
      </c>
      <c r="F490" s="12" t="s">
        <v>522</v>
      </c>
      <c r="G490" s="12">
        <v>705</v>
      </c>
      <c r="H490" s="12">
        <v>5</v>
      </c>
      <c r="I490" s="12">
        <v>7</v>
      </c>
      <c r="J490" s="12">
        <v>4</v>
      </c>
      <c r="K490" s="12">
        <v>3</v>
      </c>
      <c r="L490" s="13" t="s">
        <v>100</v>
      </c>
      <c r="M490" s="13" t="s">
        <v>53</v>
      </c>
      <c r="N490" s="12">
        <v>10.86</v>
      </c>
      <c r="O490" s="12">
        <v>19.7</v>
      </c>
      <c r="P490" s="12">
        <v>40.299999999999997</v>
      </c>
      <c r="Q490" s="26">
        <f t="shared" si="29"/>
        <v>9.9097500000000007</v>
      </c>
      <c r="R490" s="12">
        <v>778.58</v>
      </c>
      <c r="S490" s="12">
        <v>6607.18</v>
      </c>
      <c r="T490" s="12">
        <v>72.08</v>
      </c>
      <c r="U490" s="12">
        <v>52.85</v>
      </c>
      <c r="V490" s="12"/>
    </row>
    <row r="491" spans="1:22" x14ac:dyDescent="0.25">
      <c r="A491" s="12">
        <v>2024</v>
      </c>
      <c r="B491" s="12" t="s">
        <v>457</v>
      </c>
      <c r="C491" s="12" t="s">
        <v>244</v>
      </c>
      <c r="D491" s="12" t="s">
        <v>245</v>
      </c>
      <c r="E491" s="12" t="s">
        <v>246</v>
      </c>
      <c r="F491" s="12" t="s">
        <v>523</v>
      </c>
      <c r="G491" s="12">
        <v>706</v>
      </c>
      <c r="H491" s="12">
        <v>6</v>
      </c>
      <c r="I491" s="12">
        <v>7</v>
      </c>
      <c r="J491" s="12">
        <v>4</v>
      </c>
      <c r="K491" s="12">
        <v>9</v>
      </c>
      <c r="L491" s="13" t="s">
        <v>69</v>
      </c>
      <c r="M491" s="13" t="s">
        <v>53</v>
      </c>
      <c r="N491" s="12">
        <v>9.4600000000000009</v>
      </c>
      <c r="O491" s="12">
        <v>14.4</v>
      </c>
      <c r="P491" s="12">
        <v>43.5</v>
      </c>
      <c r="Q491" s="26">
        <f t="shared" si="29"/>
        <v>9.2020000000000017</v>
      </c>
      <c r="R491" s="12">
        <v>722.97</v>
      </c>
      <c r="S491" s="12">
        <v>6135.3</v>
      </c>
      <c r="T491" s="12">
        <v>70.930000000000007</v>
      </c>
      <c r="U491" s="12">
        <v>47.99</v>
      </c>
      <c r="V491" s="12"/>
    </row>
    <row r="492" spans="1:22" x14ac:dyDescent="0.25">
      <c r="A492" s="12">
        <v>2024</v>
      </c>
      <c r="B492" s="12" t="s">
        <v>457</v>
      </c>
      <c r="C492" s="12" t="s">
        <v>244</v>
      </c>
      <c r="D492" s="12" t="s">
        <v>245</v>
      </c>
      <c r="E492" s="12" t="s">
        <v>246</v>
      </c>
      <c r="F492" s="12" t="s">
        <v>524</v>
      </c>
      <c r="G492" s="12">
        <v>707</v>
      </c>
      <c r="H492" s="12">
        <v>7</v>
      </c>
      <c r="I492" s="12">
        <v>7</v>
      </c>
      <c r="J492" s="12">
        <v>4</v>
      </c>
      <c r="K492" s="12">
        <v>5</v>
      </c>
      <c r="L492" s="13" t="s">
        <v>339</v>
      </c>
      <c r="M492" s="13" t="s">
        <v>30</v>
      </c>
      <c r="N492" s="12">
        <v>11.3</v>
      </c>
      <c r="O492" s="12">
        <v>21</v>
      </c>
      <c r="P492" s="12">
        <v>41</v>
      </c>
      <c r="Q492" s="26">
        <f t="shared" si="29"/>
        <v>10.144318181818184</v>
      </c>
      <c r="R492" s="12">
        <v>797.01</v>
      </c>
      <c r="S492" s="12">
        <v>6763.57</v>
      </c>
      <c r="T492" s="12">
        <v>70.3</v>
      </c>
      <c r="U492" s="12">
        <v>62.27</v>
      </c>
      <c r="V492" s="12"/>
    </row>
    <row r="493" spans="1:22" x14ac:dyDescent="0.25">
      <c r="A493" s="12">
        <v>2024</v>
      </c>
      <c r="B493" s="12" t="s">
        <v>457</v>
      </c>
      <c r="C493" s="12" t="s">
        <v>244</v>
      </c>
      <c r="D493" s="12" t="s">
        <v>245</v>
      </c>
      <c r="E493" s="12" t="s">
        <v>246</v>
      </c>
      <c r="F493" s="12" t="s">
        <v>525</v>
      </c>
      <c r="G493" s="12">
        <v>708</v>
      </c>
      <c r="H493" s="12">
        <v>8</v>
      </c>
      <c r="I493" s="12">
        <v>7</v>
      </c>
      <c r="J493" s="12">
        <v>4</v>
      </c>
      <c r="K493" s="12">
        <v>13</v>
      </c>
      <c r="L493" s="13" t="s">
        <v>336</v>
      </c>
      <c r="M493" s="6" t="s">
        <v>658</v>
      </c>
      <c r="N493" s="12">
        <v>11.45</v>
      </c>
      <c r="O493" s="12">
        <v>15.9</v>
      </c>
      <c r="P493" s="12">
        <v>42.6</v>
      </c>
      <c r="Q493" s="26">
        <f t="shared" si="29"/>
        <v>10.942556818181817</v>
      </c>
      <c r="R493" s="12">
        <v>859.72</v>
      </c>
      <c r="S493" s="12">
        <v>7295.79</v>
      </c>
      <c r="T493" s="12">
        <v>70.3</v>
      </c>
      <c r="U493" s="12">
        <v>56.43</v>
      </c>
      <c r="V493" s="12"/>
    </row>
    <row r="494" spans="1:22" x14ac:dyDescent="0.25">
      <c r="A494" s="12">
        <v>2024</v>
      </c>
      <c r="B494" s="12" t="s">
        <v>457</v>
      </c>
      <c r="C494" s="12" t="s">
        <v>244</v>
      </c>
      <c r="D494" s="12" t="s">
        <v>245</v>
      </c>
      <c r="E494" s="12" t="s">
        <v>246</v>
      </c>
      <c r="F494" s="12" t="s">
        <v>526</v>
      </c>
      <c r="G494" s="12">
        <v>709</v>
      </c>
      <c r="H494" s="12">
        <v>9</v>
      </c>
      <c r="I494" s="12">
        <v>7</v>
      </c>
      <c r="J494" s="12">
        <v>4</v>
      </c>
      <c r="K494" s="12">
        <v>14</v>
      </c>
      <c r="L494" s="13" t="s">
        <v>336</v>
      </c>
      <c r="M494" s="13" t="s">
        <v>30</v>
      </c>
      <c r="N494" s="12">
        <v>13.17</v>
      </c>
      <c r="O494" s="12">
        <v>16.899999999999999</v>
      </c>
      <c r="P494" s="12">
        <v>42.1</v>
      </c>
      <c r="Q494" s="26">
        <f t="shared" si="29"/>
        <v>12.436670454545453</v>
      </c>
      <c r="R494" s="12">
        <v>977.11</v>
      </c>
      <c r="S494" s="12">
        <v>8291.9599999999991</v>
      </c>
      <c r="T494" s="12">
        <v>70.48</v>
      </c>
      <c r="U494" s="12">
        <v>55.66</v>
      </c>
      <c r="V494" s="12"/>
    </row>
    <row r="495" spans="1:22" x14ac:dyDescent="0.25">
      <c r="A495" s="12">
        <v>2024</v>
      </c>
      <c r="B495" s="12" t="s">
        <v>457</v>
      </c>
      <c r="C495" s="12" t="s">
        <v>244</v>
      </c>
      <c r="D495" s="12" t="s">
        <v>245</v>
      </c>
      <c r="E495" s="12" t="s">
        <v>246</v>
      </c>
      <c r="F495" s="12" t="s">
        <v>527</v>
      </c>
      <c r="G495" s="12">
        <v>710</v>
      </c>
      <c r="H495" s="12">
        <v>10</v>
      </c>
      <c r="I495" s="12">
        <v>7</v>
      </c>
      <c r="J495" s="12">
        <v>4</v>
      </c>
      <c r="K495" s="12">
        <v>18</v>
      </c>
      <c r="L495" s="13" t="s">
        <v>42</v>
      </c>
      <c r="M495" s="13" t="s">
        <v>53</v>
      </c>
      <c r="N495" s="12">
        <v>9.26</v>
      </c>
      <c r="O495" s="12">
        <v>16.100000000000001</v>
      </c>
      <c r="P495" s="12">
        <v>42.7</v>
      </c>
      <c r="Q495" s="26">
        <f t="shared" si="29"/>
        <v>8.8285681818181807</v>
      </c>
      <c r="R495" s="12">
        <v>693.63</v>
      </c>
      <c r="S495" s="12">
        <v>5886.32</v>
      </c>
      <c r="T495" s="12">
        <v>72.67</v>
      </c>
      <c r="U495" s="12">
        <v>59.56</v>
      </c>
      <c r="V495" s="12"/>
    </row>
    <row r="496" spans="1:22" x14ac:dyDescent="0.25">
      <c r="A496" s="12">
        <v>2024</v>
      </c>
      <c r="B496" s="12" t="s">
        <v>457</v>
      </c>
      <c r="C496" s="12" t="s">
        <v>244</v>
      </c>
      <c r="D496" s="12" t="s">
        <v>245</v>
      </c>
      <c r="E496" s="12" t="s">
        <v>246</v>
      </c>
      <c r="F496" s="12" t="s">
        <v>528</v>
      </c>
      <c r="G496" s="12">
        <v>801</v>
      </c>
      <c r="H496" s="12">
        <v>1</v>
      </c>
      <c r="I496" s="12">
        <v>8</v>
      </c>
      <c r="J496" s="12">
        <v>4</v>
      </c>
      <c r="K496" s="12">
        <v>2</v>
      </c>
      <c r="L496" s="13" t="s">
        <v>100</v>
      </c>
      <c r="M496" s="13" t="s">
        <v>30</v>
      </c>
      <c r="N496" s="12">
        <v>11.88</v>
      </c>
      <c r="O496" s="12">
        <v>15.8</v>
      </c>
      <c r="P496" s="12">
        <v>42.7</v>
      </c>
      <c r="Q496" s="26">
        <f t="shared" si="29"/>
        <v>11.366999999999999</v>
      </c>
      <c r="R496" s="12">
        <v>893.07</v>
      </c>
      <c r="S496" s="12">
        <v>7578.78</v>
      </c>
      <c r="T496" s="12">
        <v>72.17</v>
      </c>
      <c r="U496" s="12">
        <v>54.44</v>
      </c>
      <c r="V496" s="12"/>
    </row>
    <row r="497" spans="1:22" x14ac:dyDescent="0.25">
      <c r="A497" s="12">
        <v>2024</v>
      </c>
      <c r="B497" s="12" t="s">
        <v>457</v>
      </c>
      <c r="C497" s="12" t="s">
        <v>244</v>
      </c>
      <c r="D497" s="12" t="s">
        <v>245</v>
      </c>
      <c r="E497" s="12" t="s">
        <v>246</v>
      </c>
      <c r="F497" s="12" t="s">
        <v>529</v>
      </c>
      <c r="G497" s="12">
        <v>802</v>
      </c>
      <c r="H497" s="12">
        <v>2</v>
      </c>
      <c r="I497" s="12">
        <v>8</v>
      </c>
      <c r="J497" s="12">
        <v>4</v>
      </c>
      <c r="K497" s="12">
        <v>12</v>
      </c>
      <c r="L497" s="13" t="s">
        <v>27</v>
      </c>
      <c r="M497" s="13" t="s">
        <v>53</v>
      </c>
      <c r="N497" s="12">
        <v>10.52</v>
      </c>
      <c r="O497" s="12">
        <v>15.6</v>
      </c>
      <c r="P497" s="12">
        <v>42.8</v>
      </c>
      <c r="Q497" s="26">
        <f t="shared" si="29"/>
        <v>10.089636363636362</v>
      </c>
      <c r="R497" s="12">
        <v>792.71</v>
      </c>
      <c r="S497" s="12">
        <v>6727.11</v>
      </c>
      <c r="T497" s="12">
        <v>74.81</v>
      </c>
      <c r="U497" s="12">
        <v>63.62</v>
      </c>
      <c r="V497" s="12"/>
    </row>
    <row r="498" spans="1:22" x14ac:dyDescent="0.25">
      <c r="A498" s="12">
        <v>2024</v>
      </c>
      <c r="B498" s="12" t="s">
        <v>457</v>
      </c>
      <c r="C498" s="12" t="s">
        <v>244</v>
      </c>
      <c r="D498" s="12" t="s">
        <v>245</v>
      </c>
      <c r="E498" s="12" t="s">
        <v>246</v>
      </c>
      <c r="F498" s="12" t="s">
        <v>530</v>
      </c>
      <c r="G498" s="12">
        <v>803</v>
      </c>
      <c r="H498" s="12">
        <v>3</v>
      </c>
      <c r="I498" s="12">
        <v>8</v>
      </c>
      <c r="J498" s="12">
        <v>4</v>
      </c>
      <c r="K498" s="12">
        <v>4</v>
      </c>
      <c r="L498" s="13" t="s">
        <v>339</v>
      </c>
      <c r="M498" s="6" t="s">
        <v>658</v>
      </c>
      <c r="N498" s="12">
        <v>12.25</v>
      </c>
      <c r="O498" s="12">
        <v>22.6</v>
      </c>
      <c r="P498" s="12">
        <v>40.700000000000003</v>
      </c>
      <c r="Q498" s="26">
        <f t="shared" si="29"/>
        <v>10.774431818181819</v>
      </c>
      <c r="R498" s="12">
        <v>846.52</v>
      </c>
      <c r="S498" s="12">
        <v>7183.69</v>
      </c>
      <c r="T498" s="12">
        <v>70.84</v>
      </c>
      <c r="U498" s="12">
        <v>65.16</v>
      </c>
      <c r="V498" s="12"/>
    </row>
    <row r="499" spans="1:22" x14ac:dyDescent="0.25">
      <c r="A499" s="12">
        <v>2024</v>
      </c>
      <c r="B499" s="12" t="s">
        <v>457</v>
      </c>
      <c r="C499" s="12" t="s">
        <v>244</v>
      </c>
      <c r="D499" s="12" t="s">
        <v>245</v>
      </c>
      <c r="E499" s="12" t="s">
        <v>246</v>
      </c>
      <c r="F499" s="12" t="s">
        <v>531</v>
      </c>
      <c r="G499" s="12">
        <v>804</v>
      </c>
      <c r="H499" s="12">
        <v>4</v>
      </c>
      <c r="I499" s="12">
        <v>8</v>
      </c>
      <c r="J499" s="12">
        <v>4</v>
      </c>
      <c r="K499" s="12">
        <v>15</v>
      </c>
      <c r="L499" s="13" t="s">
        <v>336</v>
      </c>
      <c r="M499" s="13" t="s">
        <v>53</v>
      </c>
      <c r="N499" s="12">
        <v>13.23</v>
      </c>
      <c r="O499" s="12">
        <v>16.899999999999999</v>
      </c>
      <c r="P499" s="12">
        <v>41.9</v>
      </c>
      <c r="Q499" s="26">
        <f t="shared" ref="Q499:Q505" si="30">N499*(1-O499/100)/(1-0.12)</f>
        <v>12.493329545454545</v>
      </c>
      <c r="R499" s="12">
        <v>981.56</v>
      </c>
      <c r="S499" s="12">
        <v>8329.74</v>
      </c>
      <c r="T499" s="12">
        <v>69.8</v>
      </c>
      <c r="U499" s="12">
        <v>52.64</v>
      </c>
      <c r="V499" s="12"/>
    </row>
    <row r="500" spans="1:22" x14ac:dyDescent="0.25">
      <c r="A500" s="12">
        <v>2024</v>
      </c>
      <c r="B500" s="12" t="s">
        <v>457</v>
      </c>
      <c r="C500" s="12" t="s">
        <v>244</v>
      </c>
      <c r="D500" s="12" t="s">
        <v>245</v>
      </c>
      <c r="E500" s="12" t="s">
        <v>246</v>
      </c>
      <c r="F500" s="12" t="s">
        <v>532</v>
      </c>
      <c r="G500" s="12">
        <v>805</v>
      </c>
      <c r="H500" s="12">
        <v>5</v>
      </c>
      <c r="I500" s="12">
        <v>8</v>
      </c>
      <c r="J500" s="12">
        <v>4</v>
      </c>
      <c r="K500" s="12">
        <v>20</v>
      </c>
      <c r="L500" s="13" t="s">
        <v>82</v>
      </c>
      <c r="M500" s="6" t="s">
        <v>658</v>
      </c>
      <c r="N500" s="12">
        <v>11.75</v>
      </c>
      <c r="O500" s="12">
        <v>18.399999999999999</v>
      </c>
      <c r="P500" s="12">
        <v>41.5</v>
      </c>
      <c r="Q500" s="26">
        <f t="shared" si="30"/>
        <v>10.895454545454546</v>
      </c>
      <c r="R500" s="12">
        <v>856.02</v>
      </c>
      <c r="S500" s="12">
        <v>7264.38</v>
      </c>
      <c r="T500" s="12">
        <v>72.22</v>
      </c>
      <c r="U500" s="12">
        <v>59.62</v>
      </c>
      <c r="V500" s="12"/>
    </row>
    <row r="501" spans="1:22" x14ac:dyDescent="0.25">
      <c r="A501" s="12">
        <v>2024</v>
      </c>
      <c r="B501" s="12" t="s">
        <v>457</v>
      </c>
      <c r="C501" s="12" t="s">
        <v>244</v>
      </c>
      <c r="D501" s="12" t="s">
        <v>245</v>
      </c>
      <c r="E501" s="12" t="s">
        <v>246</v>
      </c>
      <c r="F501" s="12" t="s">
        <v>533</v>
      </c>
      <c r="G501" s="12">
        <v>806</v>
      </c>
      <c r="H501" s="12">
        <v>6</v>
      </c>
      <c r="I501" s="12">
        <v>8</v>
      </c>
      <c r="J501" s="12">
        <v>4</v>
      </c>
      <c r="K501" s="12">
        <v>6</v>
      </c>
      <c r="L501" s="13" t="s">
        <v>339</v>
      </c>
      <c r="M501" s="13" t="s">
        <v>53</v>
      </c>
      <c r="N501" s="12">
        <v>11.82</v>
      </c>
      <c r="O501" s="12">
        <v>21</v>
      </c>
      <c r="P501" s="12">
        <v>41</v>
      </c>
      <c r="Q501" s="26">
        <f t="shared" si="30"/>
        <v>10.611136363636366</v>
      </c>
      <c r="R501" s="12">
        <v>833.69</v>
      </c>
      <c r="S501" s="12">
        <v>7074.82</v>
      </c>
      <c r="T501" s="12">
        <v>71.25</v>
      </c>
      <c r="U501" s="12">
        <v>63.52</v>
      </c>
      <c r="V501" s="12"/>
    </row>
    <row r="502" spans="1:22" x14ac:dyDescent="0.25">
      <c r="A502" s="12">
        <v>2024</v>
      </c>
      <c r="B502" s="12" t="s">
        <v>457</v>
      </c>
      <c r="C502" s="12" t="s">
        <v>244</v>
      </c>
      <c r="D502" s="12" t="s">
        <v>245</v>
      </c>
      <c r="E502" s="12" t="s">
        <v>246</v>
      </c>
      <c r="F502" s="12" t="s">
        <v>534</v>
      </c>
      <c r="G502" s="12">
        <v>807</v>
      </c>
      <c r="H502" s="12">
        <v>7</v>
      </c>
      <c r="I502" s="12">
        <v>8</v>
      </c>
      <c r="J502" s="12">
        <v>4</v>
      </c>
      <c r="K502" s="12">
        <v>19</v>
      </c>
      <c r="L502" s="13" t="s">
        <v>113</v>
      </c>
      <c r="M502" s="6" t="s">
        <v>658</v>
      </c>
      <c r="N502" s="12">
        <v>11.83</v>
      </c>
      <c r="O502" s="12">
        <v>18.100000000000001</v>
      </c>
      <c r="P502" s="12">
        <v>42</v>
      </c>
      <c r="Q502" s="26">
        <f t="shared" si="30"/>
        <v>11.009965909090909</v>
      </c>
      <c r="R502" s="12">
        <v>865.02</v>
      </c>
      <c r="S502" s="12">
        <v>7340.73</v>
      </c>
      <c r="T502" s="12">
        <v>70.16</v>
      </c>
      <c r="U502" s="12">
        <v>58.47</v>
      </c>
      <c r="V502" s="12"/>
    </row>
    <row r="503" spans="1:22" x14ac:dyDescent="0.25">
      <c r="A503" s="12">
        <v>2024</v>
      </c>
      <c r="B503" s="12" t="s">
        <v>457</v>
      </c>
      <c r="C503" s="12" t="s">
        <v>244</v>
      </c>
      <c r="D503" s="12" t="s">
        <v>245</v>
      </c>
      <c r="E503" s="12" t="s">
        <v>246</v>
      </c>
      <c r="F503" s="12" t="s">
        <v>535</v>
      </c>
      <c r="G503" s="12">
        <v>808</v>
      </c>
      <c r="H503" s="12">
        <v>8</v>
      </c>
      <c r="I503" s="12">
        <v>8</v>
      </c>
      <c r="J503" s="12">
        <v>4</v>
      </c>
      <c r="K503" s="12">
        <v>16</v>
      </c>
      <c r="L503" s="13" t="s">
        <v>42</v>
      </c>
      <c r="M503" s="6" t="s">
        <v>658</v>
      </c>
      <c r="N503" s="12">
        <v>9.43</v>
      </c>
      <c r="O503" s="12">
        <v>15.6</v>
      </c>
      <c r="P503" s="12">
        <v>43.1</v>
      </c>
      <c r="Q503" s="26">
        <f t="shared" si="30"/>
        <v>9.0442272727272712</v>
      </c>
      <c r="R503" s="12">
        <v>710.58</v>
      </c>
      <c r="S503" s="12">
        <v>6030.1</v>
      </c>
      <c r="T503" s="12">
        <v>72.489999999999995</v>
      </c>
      <c r="U503" s="12">
        <v>60.71</v>
      </c>
      <c r="V503" s="12"/>
    </row>
    <row r="504" spans="1:22" x14ac:dyDescent="0.25">
      <c r="A504" s="12">
        <v>2024</v>
      </c>
      <c r="B504" s="12" t="s">
        <v>457</v>
      </c>
      <c r="C504" s="12" t="s">
        <v>244</v>
      </c>
      <c r="D504" s="12" t="s">
        <v>245</v>
      </c>
      <c r="E504" s="12" t="s">
        <v>246</v>
      </c>
      <c r="F504" s="12" t="s">
        <v>536</v>
      </c>
      <c r="G504" s="12">
        <v>809</v>
      </c>
      <c r="H504" s="12">
        <v>9</v>
      </c>
      <c r="I504" s="12">
        <v>8</v>
      </c>
      <c r="J504" s="12">
        <v>4</v>
      </c>
      <c r="K504" s="12">
        <v>17</v>
      </c>
      <c r="L504" s="13" t="s">
        <v>42</v>
      </c>
      <c r="M504" s="13" t="s">
        <v>30</v>
      </c>
      <c r="N504" s="12">
        <v>8.9600000000000009</v>
      </c>
      <c r="O504" s="12">
        <v>16.600000000000001</v>
      </c>
      <c r="P504" s="12">
        <v>42.4</v>
      </c>
      <c r="Q504" s="26">
        <f t="shared" si="30"/>
        <v>8.4916363636363634</v>
      </c>
      <c r="R504" s="12">
        <v>667.16</v>
      </c>
      <c r="S504" s="12">
        <v>5661.67</v>
      </c>
      <c r="T504" s="12">
        <v>72.94</v>
      </c>
      <c r="U504" s="12">
        <v>63.46</v>
      </c>
      <c r="V504" s="12"/>
    </row>
    <row r="505" spans="1:22" x14ac:dyDescent="0.25">
      <c r="A505" s="12">
        <v>2024</v>
      </c>
      <c r="B505" s="12" t="s">
        <v>457</v>
      </c>
      <c r="C505" s="12" t="s">
        <v>244</v>
      </c>
      <c r="D505" s="12" t="s">
        <v>245</v>
      </c>
      <c r="E505" s="12" t="s">
        <v>246</v>
      </c>
      <c r="F505" s="12" t="s">
        <v>537</v>
      </c>
      <c r="G505" s="12">
        <v>810</v>
      </c>
      <c r="H505" s="12">
        <v>10</v>
      </c>
      <c r="I505" s="12">
        <v>8</v>
      </c>
      <c r="J505" s="12">
        <v>4</v>
      </c>
      <c r="K505" s="12">
        <v>8</v>
      </c>
      <c r="L505" s="13" t="s">
        <v>69</v>
      </c>
      <c r="M505" s="13" t="s">
        <v>30</v>
      </c>
      <c r="N505" s="12">
        <v>11.38</v>
      </c>
      <c r="O505" s="12">
        <v>12.2</v>
      </c>
      <c r="P505" s="12">
        <v>44.7</v>
      </c>
      <c r="Q505" s="26">
        <f t="shared" si="30"/>
        <v>11.354136363636364</v>
      </c>
      <c r="R505" s="12">
        <v>892.06</v>
      </c>
      <c r="S505" s="12">
        <v>7570.2</v>
      </c>
      <c r="T505" s="12">
        <v>71.739999999999995</v>
      </c>
      <c r="U505" s="12">
        <v>49.68</v>
      </c>
      <c r="V505" s="12"/>
    </row>
    <row r="506" spans="1:22" x14ac:dyDescent="0.25">
      <c r="A506" s="12">
        <v>2025</v>
      </c>
      <c r="B506" s="3" t="s">
        <v>539</v>
      </c>
      <c r="C506" s="14" t="s">
        <v>118</v>
      </c>
      <c r="D506" s="14" t="s">
        <v>119</v>
      </c>
      <c r="E506" s="14" t="s">
        <v>120</v>
      </c>
      <c r="F506" s="15" t="s">
        <v>540</v>
      </c>
      <c r="G506" s="15">
        <v>101</v>
      </c>
      <c r="H506" s="14">
        <v>1</v>
      </c>
      <c r="I506" s="14">
        <v>1</v>
      </c>
      <c r="J506" s="14">
        <v>1</v>
      </c>
      <c r="K506" s="14">
        <v>12</v>
      </c>
      <c r="L506" s="17" t="s">
        <v>69</v>
      </c>
      <c r="M506" s="17" t="s">
        <v>603</v>
      </c>
      <c r="N506" s="18">
        <v>6.73</v>
      </c>
      <c r="O506" s="18">
        <v>15</v>
      </c>
      <c r="P506" s="18">
        <v>42</v>
      </c>
      <c r="Q506" s="27">
        <f>N506*(1-O506/100)/(1-0.12)</f>
        <v>6.5005681818181822</v>
      </c>
      <c r="R506" s="18">
        <v>4256.78</v>
      </c>
      <c r="S506" s="19">
        <f>R506/1.121</f>
        <v>3797.3059768064227</v>
      </c>
      <c r="T506" s="18">
        <v>66.569999999999993</v>
      </c>
      <c r="U506" s="18">
        <v>43.6</v>
      </c>
      <c r="V506" s="14">
        <v>1</v>
      </c>
    </row>
    <row r="507" spans="1:22" x14ac:dyDescent="0.25">
      <c r="A507" s="12">
        <v>2025</v>
      </c>
      <c r="B507" s="3" t="s">
        <v>539</v>
      </c>
      <c r="C507" s="14" t="s">
        <v>118</v>
      </c>
      <c r="D507" s="14" t="s">
        <v>119</v>
      </c>
      <c r="E507" s="14" t="s">
        <v>120</v>
      </c>
      <c r="F507" s="15" t="s">
        <v>541</v>
      </c>
      <c r="G507" s="15">
        <v>102</v>
      </c>
      <c r="H507" s="14">
        <v>2</v>
      </c>
      <c r="I507" s="14">
        <v>1</v>
      </c>
      <c r="J507" s="14">
        <v>1</v>
      </c>
      <c r="K507" s="14">
        <v>13</v>
      </c>
      <c r="L507" s="17" t="s">
        <v>336</v>
      </c>
      <c r="M507" s="6" t="s">
        <v>658</v>
      </c>
      <c r="N507" s="18">
        <v>10.37</v>
      </c>
      <c r="O507" s="18">
        <v>14.7</v>
      </c>
      <c r="P507" s="18">
        <v>42.3</v>
      </c>
      <c r="Q507" s="27">
        <f t="shared" ref="Q507:Q570" si="31">N507*(1-O507/100)/(1-0.12)</f>
        <v>10.051829545454543</v>
      </c>
      <c r="R507" s="18">
        <v>6582.25</v>
      </c>
      <c r="S507" s="19">
        <f t="shared" ref="S507:S570" si="32">R507/1.121</f>
        <v>5871.7662801070474</v>
      </c>
      <c r="T507" s="18">
        <v>70.510000000000005</v>
      </c>
      <c r="U507" s="18">
        <v>48.03</v>
      </c>
      <c r="V507" s="14">
        <v>1</v>
      </c>
    </row>
    <row r="508" spans="1:22" x14ac:dyDescent="0.25">
      <c r="A508" s="12">
        <v>2025</v>
      </c>
      <c r="B508" s="3" t="s">
        <v>539</v>
      </c>
      <c r="C508" s="14" t="s">
        <v>118</v>
      </c>
      <c r="D508" s="14" t="s">
        <v>119</v>
      </c>
      <c r="E508" s="14" t="s">
        <v>120</v>
      </c>
      <c r="F508" s="15" t="s">
        <v>542</v>
      </c>
      <c r="G508" s="15">
        <v>103</v>
      </c>
      <c r="H508" s="14">
        <v>3</v>
      </c>
      <c r="I508" s="14">
        <v>1</v>
      </c>
      <c r="J508" s="14">
        <v>1</v>
      </c>
      <c r="K508" s="14">
        <v>5</v>
      </c>
      <c r="L508" s="17" t="s">
        <v>339</v>
      </c>
      <c r="M508" s="6" t="s">
        <v>658</v>
      </c>
      <c r="N508" s="18">
        <v>5.71</v>
      </c>
      <c r="O508" s="18">
        <v>19</v>
      </c>
      <c r="P508" s="18">
        <v>40.200000000000003</v>
      </c>
      <c r="Q508" s="27">
        <f t="shared" si="31"/>
        <v>5.2557954545454555</v>
      </c>
      <c r="R508" s="18">
        <v>3441.66</v>
      </c>
      <c r="S508" s="19">
        <f t="shared" si="32"/>
        <v>3070.1694915254234</v>
      </c>
      <c r="T508" s="18">
        <v>69.260000000000005</v>
      </c>
      <c r="U508" s="18">
        <v>61.62</v>
      </c>
      <c r="V508" s="14">
        <v>1</v>
      </c>
    </row>
    <row r="509" spans="1:22" x14ac:dyDescent="0.25">
      <c r="A509" s="12">
        <v>2025</v>
      </c>
      <c r="B509" s="3" t="s">
        <v>539</v>
      </c>
      <c r="C509" s="14" t="s">
        <v>118</v>
      </c>
      <c r="D509" s="14" t="s">
        <v>119</v>
      </c>
      <c r="E509" s="14" t="s">
        <v>120</v>
      </c>
      <c r="F509" s="15" t="s">
        <v>543</v>
      </c>
      <c r="G509" s="15">
        <v>104</v>
      </c>
      <c r="H509" s="14">
        <v>4</v>
      </c>
      <c r="I509" s="14">
        <v>1</v>
      </c>
      <c r="J509" s="14">
        <v>2</v>
      </c>
      <c r="K509" s="14">
        <v>14</v>
      </c>
      <c r="L509" s="17" t="s">
        <v>336</v>
      </c>
      <c r="M509" s="17" t="s">
        <v>30</v>
      </c>
      <c r="N509" s="18">
        <v>11.07</v>
      </c>
      <c r="O509" s="18">
        <v>15.4</v>
      </c>
      <c r="P509" s="18">
        <v>42.1</v>
      </c>
      <c r="Q509" s="27">
        <f t="shared" si="31"/>
        <v>10.642295454545456</v>
      </c>
      <c r="R509" s="18">
        <v>6968.91</v>
      </c>
      <c r="S509" s="19">
        <f t="shared" si="32"/>
        <v>6216.6904549509363</v>
      </c>
      <c r="T509" s="18">
        <v>70.06</v>
      </c>
      <c r="U509" s="18">
        <v>45.09</v>
      </c>
      <c r="V509" s="14">
        <v>0</v>
      </c>
    </row>
    <row r="510" spans="1:22" x14ac:dyDescent="0.25">
      <c r="A510" s="12">
        <v>2025</v>
      </c>
      <c r="B510" s="3" t="s">
        <v>539</v>
      </c>
      <c r="C510" s="14" t="s">
        <v>118</v>
      </c>
      <c r="D510" s="14" t="s">
        <v>119</v>
      </c>
      <c r="E510" s="14" t="s">
        <v>120</v>
      </c>
      <c r="F510" s="15" t="s">
        <v>544</v>
      </c>
      <c r="G510" s="15">
        <v>105</v>
      </c>
      <c r="H510" s="14">
        <v>5</v>
      </c>
      <c r="I510" s="14">
        <v>1</v>
      </c>
      <c r="J510" s="14">
        <v>2</v>
      </c>
      <c r="K510" s="14">
        <v>15</v>
      </c>
      <c r="L510" s="17" t="s">
        <v>336</v>
      </c>
      <c r="M510" s="17" t="s">
        <v>53</v>
      </c>
      <c r="N510" s="18">
        <v>11.3</v>
      </c>
      <c r="O510" s="18">
        <v>14.4</v>
      </c>
      <c r="P510" s="18">
        <v>42.9</v>
      </c>
      <c r="Q510" s="27">
        <f t="shared" si="31"/>
        <v>10.991818181818182</v>
      </c>
      <c r="R510" s="18">
        <v>7197.79</v>
      </c>
      <c r="S510" s="19">
        <f t="shared" si="32"/>
        <v>6420.865298840321</v>
      </c>
      <c r="T510" s="18">
        <v>70.41</v>
      </c>
      <c r="U510" s="18">
        <v>43.65</v>
      </c>
      <c r="V510" s="14">
        <v>1</v>
      </c>
    </row>
    <row r="511" spans="1:22" x14ac:dyDescent="0.25">
      <c r="A511" s="12">
        <v>2025</v>
      </c>
      <c r="B511" s="3" t="s">
        <v>539</v>
      </c>
      <c r="C511" s="14" t="s">
        <v>118</v>
      </c>
      <c r="D511" s="14" t="s">
        <v>119</v>
      </c>
      <c r="E511" s="14" t="s">
        <v>120</v>
      </c>
      <c r="F511" s="15" t="s">
        <v>545</v>
      </c>
      <c r="G511" s="15">
        <v>106</v>
      </c>
      <c r="H511" s="14">
        <v>6</v>
      </c>
      <c r="I511" s="14">
        <v>1</v>
      </c>
      <c r="J511" s="14">
        <v>3</v>
      </c>
      <c r="K511" s="14">
        <v>13</v>
      </c>
      <c r="L511" s="17" t="s">
        <v>336</v>
      </c>
      <c r="M511" s="6" t="s">
        <v>658</v>
      </c>
      <c r="N511" s="18">
        <v>12.22</v>
      </c>
      <c r="O511" s="18">
        <v>15.2</v>
      </c>
      <c r="P511" s="18">
        <v>42.3</v>
      </c>
      <c r="Q511" s="27">
        <f t="shared" si="31"/>
        <v>11.775636363636364</v>
      </c>
      <c r="R511" s="18">
        <v>7711.06</v>
      </c>
      <c r="S511" s="19">
        <f t="shared" si="32"/>
        <v>6878.7332738626228</v>
      </c>
      <c r="T511" s="18">
        <v>69.209999999999994</v>
      </c>
      <c r="U511" s="18">
        <v>40.46</v>
      </c>
      <c r="V511" s="14">
        <v>0</v>
      </c>
    </row>
    <row r="512" spans="1:22" x14ac:dyDescent="0.25">
      <c r="A512" s="12">
        <v>2025</v>
      </c>
      <c r="B512" s="3" t="s">
        <v>539</v>
      </c>
      <c r="C512" s="14" t="s">
        <v>118</v>
      </c>
      <c r="D512" s="14" t="s">
        <v>119</v>
      </c>
      <c r="E512" s="14" t="s">
        <v>120</v>
      </c>
      <c r="F512" s="15" t="s">
        <v>546</v>
      </c>
      <c r="G512" s="15">
        <v>107</v>
      </c>
      <c r="H512" s="14">
        <v>7</v>
      </c>
      <c r="I512" s="14">
        <v>1</v>
      </c>
      <c r="J512" s="14">
        <v>3</v>
      </c>
      <c r="K512" s="14">
        <v>11</v>
      </c>
      <c r="L512" s="17" t="s">
        <v>69</v>
      </c>
      <c r="M512" s="17" t="s">
        <v>53</v>
      </c>
      <c r="N512" s="18">
        <v>7.62</v>
      </c>
      <c r="O512" s="18">
        <v>14.2</v>
      </c>
      <c r="P512" s="18">
        <v>42.9</v>
      </c>
      <c r="Q512" s="27">
        <f t="shared" si="31"/>
        <v>7.4295</v>
      </c>
      <c r="R512" s="18">
        <v>4865.07</v>
      </c>
      <c r="S512" s="19">
        <f t="shared" si="32"/>
        <v>4339.9375557537915</v>
      </c>
      <c r="T512" s="18">
        <v>68.53</v>
      </c>
      <c r="U512" s="18">
        <v>45.1</v>
      </c>
      <c r="V512" s="14">
        <v>1</v>
      </c>
    </row>
    <row r="513" spans="1:22" x14ac:dyDescent="0.25">
      <c r="A513" s="12">
        <v>2025</v>
      </c>
      <c r="B513" s="3" t="s">
        <v>539</v>
      </c>
      <c r="C513" s="14" t="s">
        <v>118</v>
      </c>
      <c r="D513" s="14" t="s">
        <v>119</v>
      </c>
      <c r="E513" s="14" t="s">
        <v>120</v>
      </c>
      <c r="F513" s="15" t="s">
        <v>547</v>
      </c>
      <c r="G513" s="15">
        <v>201</v>
      </c>
      <c r="H513" s="14">
        <v>1</v>
      </c>
      <c r="I513" s="14">
        <v>2</v>
      </c>
      <c r="J513" s="14">
        <v>1</v>
      </c>
      <c r="K513" s="14">
        <v>4</v>
      </c>
      <c r="L513" s="17" t="s">
        <v>100</v>
      </c>
      <c r="M513" s="17" t="s">
        <v>603</v>
      </c>
      <c r="N513" s="18">
        <v>6.2</v>
      </c>
      <c r="O513" s="18">
        <v>15</v>
      </c>
      <c r="P513" s="18">
        <v>42</v>
      </c>
      <c r="Q513" s="27">
        <f t="shared" si="31"/>
        <v>5.9886363636363633</v>
      </c>
      <c r="R513" s="18">
        <v>3921.55</v>
      </c>
      <c r="S513" s="19">
        <f t="shared" si="32"/>
        <v>3498.2604817127567</v>
      </c>
      <c r="T513" s="18">
        <v>64.67</v>
      </c>
      <c r="U513" s="18">
        <v>32.44</v>
      </c>
      <c r="V513" s="14">
        <v>0</v>
      </c>
    </row>
    <row r="514" spans="1:22" x14ac:dyDescent="0.25">
      <c r="A514" s="12">
        <v>2025</v>
      </c>
      <c r="B514" s="3" t="s">
        <v>539</v>
      </c>
      <c r="C514" s="14" t="s">
        <v>118</v>
      </c>
      <c r="D514" s="14" t="s">
        <v>119</v>
      </c>
      <c r="E514" s="14" t="s">
        <v>120</v>
      </c>
      <c r="F514" s="15" t="s">
        <v>548</v>
      </c>
      <c r="G514" s="15">
        <v>202</v>
      </c>
      <c r="H514" s="14">
        <v>2</v>
      </c>
      <c r="I514" s="14">
        <v>2</v>
      </c>
      <c r="J514" s="14">
        <v>1</v>
      </c>
      <c r="K514" s="14">
        <v>6</v>
      </c>
      <c r="L514" s="17" t="s">
        <v>339</v>
      </c>
      <c r="M514" s="17" t="s">
        <v>30</v>
      </c>
      <c r="N514" s="18">
        <v>5.35</v>
      </c>
      <c r="O514" s="18">
        <v>17.899999999999999</v>
      </c>
      <c r="P514" s="18">
        <v>40.5</v>
      </c>
      <c r="Q514" s="27">
        <f t="shared" si="31"/>
        <v>4.9913068181818172</v>
      </c>
      <c r="R514" s="18">
        <v>3268.46</v>
      </c>
      <c r="S514" s="19">
        <f t="shared" si="32"/>
        <v>2915.6645851917929</v>
      </c>
      <c r="T514" s="18">
        <v>69.09</v>
      </c>
      <c r="U514" s="18">
        <v>59.8</v>
      </c>
      <c r="V514" s="14">
        <v>0</v>
      </c>
    </row>
    <row r="515" spans="1:22" x14ac:dyDescent="0.25">
      <c r="A515" s="12">
        <v>2025</v>
      </c>
      <c r="B515" s="3" t="s">
        <v>539</v>
      </c>
      <c r="C515" s="14" t="s">
        <v>118</v>
      </c>
      <c r="D515" s="14" t="s">
        <v>119</v>
      </c>
      <c r="E515" s="14" t="s">
        <v>120</v>
      </c>
      <c r="F515" s="15" t="s">
        <v>549</v>
      </c>
      <c r="G515" s="15">
        <v>203</v>
      </c>
      <c r="H515" s="14">
        <v>3</v>
      </c>
      <c r="I515" s="14">
        <v>2</v>
      </c>
      <c r="J515" s="14">
        <v>1</v>
      </c>
      <c r="K515" s="14">
        <v>2</v>
      </c>
      <c r="L515" s="17" t="s">
        <v>100</v>
      </c>
      <c r="M515" s="17" t="s">
        <v>30</v>
      </c>
      <c r="N515" s="18">
        <v>6.03</v>
      </c>
      <c r="O515" s="18">
        <v>14.8</v>
      </c>
      <c r="P515" s="18">
        <v>42.1</v>
      </c>
      <c r="Q515" s="27">
        <f t="shared" si="31"/>
        <v>5.8381363636363632</v>
      </c>
      <c r="R515" s="18">
        <v>3822.99</v>
      </c>
      <c r="S515" s="19">
        <f t="shared" si="32"/>
        <v>3410.3389830508472</v>
      </c>
      <c r="T515" s="18">
        <v>64.58</v>
      </c>
      <c r="U515" s="18">
        <v>28.27</v>
      </c>
      <c r="V515" s="14">
        <v>2</v>
      </c>
    </row>
    <row r="516" spans="1:22" x14ac:dyDescent="0.25">
      <c r="A516" s="12">
        <v>2025</v>
      </c>
      <c r="B516" s="3" t="s">
        <v>539</v>
      </c>
      <c r="C516" s="14" t="s">
        <v>118</v>
      </c>
      <c r="D516" s="14" t="s">
        <v>119</v>
      </c>
      <c r="E516" s="14" t="s">
        <v>120</v>
      </c>
      <c r="F516" s="15" t="s">
        <v>550</v>
      </c>
      <c r="G516" s="15">
        <v>204</v>
      </c>
      <c r="H516" s="14">
        <v>4</v>
      </c>
      <c r="I516" s="14">
        <v>2</v>
      </c>
      <c r="J516" s="14">
        <v>2</v>
      </c>
      <c r="K516" s="14">
        <v>8</v>
      </c>
      <c r="L516" s="17" t="s">
        <v>339</v>
      </c>
      <c r="M516" s="17" t="s">
        <v>603</v>
      </c>
      <c r="N516" s="18">
        <v>4.97</v>
      </c>
      <c r="O516" s="18">
        <v>19.2</v>
      </c>
      <c r="P516" s="18">
        <v>40.299999999999997</v>
      </c>
      <c r="Q516" s="27">
        <f t="shared" si="31"/>
        <v>4.5633636363636363</v>
      </c>
      <c r="R516" s="18">
        <v>2988.23</v>
      </c>
      <c r="S516" s="19">
        <f t="shared" si="32"/>
        <v>2665.6824264049956</v>
      </c>
      <c r="T516" s="18">
        <v>69.16</v>
      </c>
      <c r="U516" s="18">
        <v>62.99</v>
      </c>
      <c r="V516" s="14">
        <v>1</v>
      </c>
    </row>
    <row r="517" spans="1:22" x14ac:dyDescent="0.25">
      <c r="A517" s="12">
        <v>2025</v>
      </c>
      <c r="B517" s="3" t="s">
        <v>539</v>
      </c>
      <c r="C517" s="14" t="s">
        <v>118</v>
      </c>
      <c r="D517" s="14" t="s">
        <v>119</v>
      </c>
      <c r="E517" s="14" t="s">
        <v>120</v>
      </c>
      <c r="F517" s="15" t="s">
        <v>551</v>
      </c>
      <c r="G517" s="15">
        <v>205</v>
      </c>
      <c r="H517" s="14">
        <v>5</v>
      </c>
      <c r="I517" s="14">
        <v>2</v>
      </c>
      <c r="J517" s="14">
        <v>2</v>
      </c>
      <c r="K517" s="14">
        <v>11</v>
      </c>
      <c r="L517" s="17" t="s">
        <v>69</v>
      </c>
      <c r="M517" s="17" t="s">
        <v>53</v>
      </c>
      <c r="N517" s="18">
        <v>8.24</v>
      </c>
      <c r="O517" s="18">
        <v>15.4</v>
      </c>
      <c r="P517" s="18">
        <v>42.1</v>
      </c>
      <c r="Q517" s="27">
        <f t="shared" si="31"/>
        <v>7.921636363636364</v>
      </c>
      <c r="R517" s="18">
        <v>5187.34</v>
      </c>
      <c r="S517" s="19">
        <f t="shared" si="32"/>
        <v>4627.4219446922389</v>
      </c>
      <c r="T517" s="18">
        <v>69.22</v>
      </c>
      <c r="U517" s="18">
        <v>48.03</v>
      </c>
      <c r="V517" s="14">
        <v>0</v>
      </c>
    </row>
    <row r="518" spans="1:22" x14ac:dyDescent="0.25">
      <c r="A518" s="12">
        <v>2025</v>
      </c>
      <c r="B518" s="3" t="s">
        <v>539</v>
      </c>
      <c r="C518" s="14" t="s">
        <v>118</v>
      </c>
      <c r="D518" s="14" t="s">
        <v>119</v>
      </c>
      <c r="E518" s="14" t="s">
        <v>120</v>
      </c>
      <c r="F518" s="15" t="s">
        <v>552</v>
      </c>
      <c r="G518" s="15">
        <v>206</v>
      </c>
      <c r="H518" s="14">
        <v>6</v>
      </c>
      <c r="I518" s="14">
        <v>2</v>
      </c>
      <c r="J518" s="14">
        <v>3</v>
      </c>
      <c r="K518" s="14">
        <v>16</v>
      </c>
      <c r="L518" s="17" t="s">
        <v>336</v>
      </c>
      <c r="M518" s="17" t="s">
        <v>603</v>
      </c>
      <c r="N518" s="18">
        <v>12.13</v>
      </c>
      <c r="O518" s="18">
        <v>14.8</v>
      </c>
      <c r="P518" s="18">
        <v>42.6</v>
      </c>
      <c r="Q518" s="27">
        <f t="shared" si="31"/>
        <v>11.744045454545455</v>
      </c>
      <c r="R518" s="18">
        <v>7690.37</v>
      </c>
      <c r="S518" s="19">
        <f t="shared" si="32"/>
        <v>6860.2765388046382</v>
      </c>
      <c r="T518" s="18">
        <v>70.290000000000006</v>
      </c>
      <c r="U518" s="18">
        <v>46.2</v>
      </c>
      <c r="V518" s="14">
        <v>0</v>
      </c>
    </row>
    <row r="519" spans="1:22" x14ac:dyDescent="0.25">
      <c r="A519" s="12">
        <v>2025</v>
      </c>
      <c r="B519" s="3" t="s">
        <v>539</v>
      </c>
      <c r="C519" s="14" t="s">
        <v>118</v>
      </c>
      <c r="D519" s="14" t="s">
        <v>119</v>
      </c>
      <c r="E519" s="14" t="s">
        <v>120</v>
      </c>
      <c r="F519" s="15" t="s">
        <v>553</v>
      </c>
      <c r="G519" s="15">
        <v>207</v>
      </c>
      <c r="H519" s="14">
        <v>7</v>
      </c>
      <c r="I519" s="14">
        <v>2</v>
      </c>
      <c r="J519" s="14">
        <v>3</v>
      </c>
      <c r="K519" s="14">
        <v>17</v>
      </c>
      <c r="L519" s="17" t="s">
        <v>42</v>
      </c>
      <c r="M519" s="6" t="s">
        <v>658</v>
      </c>
      <c r="N519" s="18">
        <v>7.19</v>
      </c>
      <c r="O519" s="18">
        <v>13.5</v>
      </c>
      <c r="P519" s="18">
        <v>43.2</v>
      </c>
      <c r="Q519" s="27">
        <f t="shared" si="31"/>
        <v>7.0674431818181827</v>
      </c>
      <c r="R519" s="18">
        <v>4627.9799999999996</v>
      </c>
      <c r="S519" s="19">
        <f t="shared" si="32"/>
        <v>4128.438893844781</v>
      </c>
      <c r="T519" s="18">
        <v>71.7</v>
      </c>
      <c r="U519" s="18">
        <v>55.88</v>
      </c>
      <c r="V519" s="14">
        <v>1</v>
      </c>
    </row>
    <row r="520" spans="1:22" x14ac:dyDescent="0.25">
      <c r="A520" s="12">
        <v>2025</v>
      </c>
      <c r="B520" s="3" t="s">
        <v>539</v>
      </c>
      <c r="C520" s="14" t="s">
        <v>118</v>
      </c>
      <c r="D520" s="14" t="s">
        <v>119</v>
      </c>
      <c r="E520" s="14" t="s">
        <v>120</v>
      </c>
      <c r="F520" s="15" t="s">
        <v>554</v>
      </c>
      <c r="G520" s="15">
        <v>301</v>
      </c>
      <c r="H520" s="14">
        <v>1</v>
      </c>
      <c r="I520" s="14">
        <v>3</v>
      </c>
      <c r="J520" s="14">
        <v>1</v>
      </c>
      <c r="K520" s="14">
        <v>10</v>
      </c>
      <c r="L520" s="17" t="s">
        <v>69</v>
      </c>
      <c r="M520" s="17" t="s">
        <v>30</v>
      </c>
      <c r="N520" s="18">
        <v>8.15</v>
      </c>
      <c r="O520" s="18">
        <v>14.9</v>
      </c>
      <c r="P520" s="18">
        <v>42.2</v>
      </c>
      <c r="Q520" s="27">
        <f t="shared" si="31"/>
        <v>7.881420454545454</v>
      </c>
      <c r="R520" s="18">
        <v>5161</v>
      </c>
      <c r="S520" s="19">
        <f t="shared" si="32"/>
        <v>4603.9250669045496</v>
      </c>
      <c r="T520" s="18">
        <v>68.5</v>
      </c>
      <c r="U520" s="18">
        <v>48.46</v>
      </c>
      <c r="V520" s="14">
        <v>0</v>
      </c>
    </row>
    <row r="521" spans="1:22" x14ac:dyDescent="0.25">
      <c r="A521" s="12">
        <v>2025</v>
      </c>
      <c r="B521" s="3" t="s">
        <v>539</v>
      </c>
      <c r="C521" s="14" t="s">
        <v>118</v>
      </c>
      <c r="D521" s="14" t="s">
        <v>119</v>
      </c>
      <c r="E521" s="14" t="s">
        <v>120</v>
      </c>
      <c r="F521" s="15" t="s">
        <v>555</v>
      </c>
      <c r="G521" s="15">
        <v>302</v>
      </c>
      <c r="H521" s="14">
        <v>2</v>
      </c>
      <c r="I521" s="14">
        <v>3</v>
      </c>
      <c r="J521" s="14">
        <v>1</v>
      </c>
      <c r="K521" s="14">
        <v>11</v>
      </c>
      <c r="L521" s="17" t="s">
        <v>69</v>
      </c>
      <c r="M521" s="17" t="s">
        <v>53</v>
      </c>
      <c r="N521" s="18">
        <v>8.0399999999999991</v>
      </c>
      <c r="O521" s="18">
        <v>15.4</v>
      </c>
      <c r="P521" s="18">
        <v>42</v>
      </c>
      <c r="Q521" s="27">
        <f t="shared" si="31"/>
        <v>7.7293636363636358</v>
      </c>
      <c r="R521" s="18">
        <v>5061.43</v>
      </c>
      <c r="S521" s="19">
        <f t="shared" si="32"/>
        <v>4515.1025869759151</v>
      </c>
      <c r="T521" s="18">
        <v>68.2</v>
      </c>
      <c r="U521" s="18">
        <v>48.48</v>
      </c>
      <c r="V521" s="14">
        <v>1</v>
      </c>
    </row>
    <row r="522" spans="1:22" x14ac:dyDescent="0.25">
      <c r="A522" s="12">
        <v>2025</v>
      </c>
      <c r="B522" s="3" t="s">
        <v>539</v>
      </c>
      <c r="C522" s="14" t="s">
        <v>118</v>
      </c>
      <c r="D522" s="14" t="s">
        <v>119</v>
      </c>
      <c r="E522" s="14" t="s">
        <v>120</v>
      </c>
      <c r="F522" s="15" t="s">
        <v>556</v>
      </c>
      <c r="G522" s="15">
        <v>303</v>
      </c>
      <c r="H522" s="14">
        <v>3</v>
      </c>
      <c r="I522" s="14">
        <v>3</v>
      </c>
      <c r="J522" s="14">
        <v>2</v>
      </c>
      <c r="K522" s="14">
        <v>6</v>
      </c>
      <c r="L522" s="17" t="s">
        <v>339</v>
      </c>
      <c r="M522" s="17" t="s">
        <v>30</v>
      </c>
      <c r="N522" s="18">
        <v>5.74</v>
      </c>
      <c r="O522" s="18">
        <v>19</v>
      </c>
      <c r="P522" s="18">
        <v>40</v>
      </c>
      <c r="Q522" s="27">
        <f t="shared" si="31"/>
        <v>5.2834090909090916</v>
      </c>
      <c r="R522" s="18">
        <v>3459.74</v>
      </c>
      <c r="S522" s="19">
        <f t="shared" si="32"/>
        <v>3086.2979482604815</v>
      </c>
      <c r="T522" s="18">
        <v>68.16</v>
      </c>
      <c r="U522" s="18">
        <v>59.45</v>
      </c>
      <c r="V522" s="14">
        <v>1</v>
      </c>
    </row>
    <row r="523" spans="1:22" x14ac:dyDescent="0.25">
      <c r="A523" s="12">
        <v>2025</v>
      </c>
      <c r="B523" s="3" t="s">
        <v>539</v>
      </c>
      <c r="C523" s="14" t="s">
        <v>118</v>
      </c>
      <c r="D523" s="14" t="s">
        <v>119</v>
      </c>
      <c r="E523" s="14" t="s">
        <v>120</v>
      </c>
      <c r="F523" s="15" t="s">
        <v>557</v>
      </c>
      <c r="G523" s="15">
        <v>304</v>
      </c>
      <c r="H523" s="14">
        <v>4</v>
      </c>
      <c r="I523" s="14">
        <v>3</v>
      </c>
      <c r="J523" s="14">
        <v>2</v>
      </c>
      <c r="K523" s="14">
        <v>5</v>
      </c>
      <c r="L523" s="17" t="s">
        <v>339</v>
      </c>
      <c r="M523" s="6" t="s">
        <v>658</v>
      </c>
      <c r="N523" s="18">
        <v>5.96</v>
      </c>
      <c r="O523" s="18">
        <v>19.600000000000001</v>
      </c>
      <c r="P523" s="18">
        <v>40</v>
      </c>
      <c r="Q523" s="27">
        <f t="shared" si="31"/>
        <v>5.4452727272727275</v>
      </c>
      <c r="R523" s="18">
        <v>3565.74</v>
      </c>
      <c r="S523" s="19">
        <f t="shared" si="32"/>
        <v>3180.8563782337196</v>
      </c>
      <c r="T523" s="18">
        <v>69.099999999999994</v>
      </c>
      <c r="U523" s="18">
        <v>62.47</v>
      </c>
      <c r="V523" s="14">
        <v>2</v>
      </c>
    </row>
    <row r="524" spans="1:22" x14ac:dyDescent="0.25">
      <c r="A524" s="12">
        <v>2025</v>
      </c>
      <c r="B524" s="3" t="s">
        <v>539</v>
      </c>
      <c r="C524" s="14" t="s">
        <v>118</v>
      </c>
      <c r="D524" s="14" t="s">
        <v>119</v>
      </c>
      <c r="E524" s="14" t="s">
        <v>120</v>
      </c>
      <c r="F524" s="15" t="s">
        <v>558</v>
      </c>
      <c r="G524" s="15">
        <v>305</v>
      </c>
      <c r="H524" s="14">
        <v>5</v>
      </c>
      <c r="I524" s="14">
        <v>3</v>
      </c>
      <c r="J524" s="14">
        <v>2</v>
      </c>
      <c r="K524" s="14">
        <v>20</v>
      </c>
      <c r="L524" s="17" t="s">
        <v>42</v>
      </c>
      <c r="M524" s="17" t="s">
        <v>603</v>
      </c>
      <c r="N524" s="18">
        <v>7.09</v>
      </c>
      <c r="O524" s="18">
        <v>16</v>
      </c>
      <c r="P524" s="18">
        <v>41.5</v>
      </c>
      <c r="Q524" s="27">
        <f t="shared" si="31"/>
        <v>6.7677272727272726</v>
      </c>
      <c r="R524" s="18">
        <v>4431.72</v>
      </c>
      <c r="S524" s="19">
        <f t="shared" si="32"/>
        <v>3953.3630686886709</v>
      </c>
      <c r="T524" s="18">
        <v>71.39</v>
      </c>
      <c r="U524" s="18">
        <v>55.08</v>
      </c>
      <c r="V524" s="14">
        <v>0</v>
      </c>
    </row>
    <row r="525" spans="1:22" x14ac:dyDescent="0.25">
      <c r="A525" s="12">
        <v>2025</v>
      </c>
      <c r="B525" s="3" t="s">
        <v>539</v>
      </c>
      <c r="C525" s="14" t="s">
        <v>118</v>
      </c>
      <c r="D525" s="14" t="s">
        <v>119</v>
      </c>
      <c r="E525" s="14" t="s">
        <v>120</v>
      </c>
      <c r="F525" s="15" t="s">
        <v>559</v>
      </c>
      <c r="G525" s="15">
        <v>306</v>
      </c>
      <c r="H525" s="14">
        <v>6</v>
      </c>
      <c r="I525" s="14">
        <v>3</v>
      </c>
      <c r="J525" s="14">
        <v>3</v>
      </c>
      <c r="K525" s="14">
        <v>18</v>
      </c>
      <c r="L525" s="17" t="s">
        <v>42</v>
      </c>
      <c r="M525" s="17" t="s">
        <v>30</v>
      </c>
      <c r="N525" s="18">
        <v>6.03</v>
      </c>
      <c r="O525" s="18">
        <v>14.9</v>
      </c>
      <c r="P525" s="18">
        <v>42.1</v>
      </c>
      <c r="Q525" s="27">
        <f t="shared" si="31"/>
        <v>5.8312840909090902</v>
      </c>
      <c r="R525" s="18">
        <v>3818.51</v>
      </c>
      <c r="S525" s="19">
        <f t="shared" si="32"/>
        <v>3406.3425512934882</v>
      </c>
      <c r="T525" s="18">
        <v>71.94</v>
      </c>
      <c r="U525" s="18">
        <v>55.88</v>
      </c>
      <c r="V525" s="14">
        <v>1</v>
      </c>
    </row>
    <row r="526" spans="1:22" x14ac:dyDescent="0.25">
      <c r="A526" s="12">
        <v>2025</v>
      </c>
      <c r="B526" s="3" t="s">
        <v>539</v>
      </c>
      <c r="C526" s="14" t="s">
        <v>118</v>
      </c>
      <c r="D526" s="14" t="s">
        <v>119</v>
      </c>
      <c r="E526" s="14" t="s">
        <v>120</v>
      </c>
      <c r="F526" s="15" t="s">
        <v>560</v>
      </c>
      <c r="G526" s="15">
        <v>307</v>
      </c>
      <c r="H526" s="14">
        <v>7</v>
      </c>
      <c r="I526" s="14">
        <v>3</v>
      </c>
      <c r="J526" s="14">
        <v>3</v>
      </c>
      <c r="K526" s="14">
        <v>19</v>
      </c>
      <c r="L526" s="17" t="s">
        <v>42</v>
      </c>
      <c r="M526" s="17" t="s">
        <v>53</v>
      </c>
      <c r="N526" s="18">
        <v>6.71</v>
      </c>
      <c r="O526" s="18">
        <v>13.9</v>
      </c>
      <c r="P526" s="18">
        <v>42.8</v>
      </c>
      <c r="Q526" s="27">
        <f t="shared" si="31"/>
        <v>6.5651250000000001</v>
      </c>
      <c r="R526" s="18">
        <v>4299.05</v>
      </c>
      <c r="S526" s="19">
        <f t="shared" si="32"/>
        <v>3835.013380909902</v>
      </c>
      <c r="T526" s="18">
        <v>72.31</v>
      </c>
      <c r="U526" s="18">
        <v>55.85</v>
      </c>
      <c r="V526" s="14">
        <v>0</v>
      </c>
    </row>
    <row r="527" spans="1:22" x14ac:dyDescent="0.25">
      <c r="A527" s="12">
        <v>2025</v>
      </c>
      <c r="B527" s="3" t="s">
        <v>539</v>
      </c>
      <c r="C527" s="14" t="s">
        <v>118</v>
      </c>
      <c r="D527" s="14" t="s">
        <v>119</v>
      </c>
      <c r="E527" s="14" t="s">
        <v>120</v>
      </c>
      <c r="F527" s="15" t="s">
        <v>561</v>
      </c>
      <c r="G527" s="15">
        <v>401</v>
      </c>
      <c r="H527" s="14">
        <v>1</v>
      </c>
      <c r="I527" s="14">
        <v>4</v>
      </c>
      <c r="J527" s="14">
        <v>1</v>
      </c>
      <c r="K527" s="14">
        <v>17</v>
      </c>
      <c r="L527" s="17" t="s">
        <v>42</v>
      </c>
      <c r="M527" s="6" t="s">
        <v>658</v>
      </c>
      <c r="N527" s="18">
        <v>6.39</v>
      </c>
      <c r="O527" s="18">
        <v>14.7</v>
      </c>
      <c r="P527" s="18">
        <v>42.1</v>
      </c>
      <c r="Q527" s="27">
        <f t="shared" si="31"/>
        <v>6.1939431818181818</v>
      </c>
      <c r="R527" s="18">
        <v>4055.99</v>
      </c>
      <c r="S527" s="19">
        <f t="shared" si="32"/>
        <v>3618.1891168599464</v>
      </c>
      <c r="T527" s="18">
        <v>71.67</v>
      </c>
      <c r="U527" s="18">
        <v>55.87</v>
      </c>
      <c r="V527" s="14">
        <v>1</v>
      </c>
    </row>
    <row r="528" spans="1:22" x14ac:dyDescent="0.25">
      <c r="A528" s="12">
        <v>2025</v>
      </c>
      <c r="B528" s="3" t="s">
        <v>539</v>
      </c>
      <c r="C528" s="14" t="s">
        <v>118</v>
      </c>
      <c r="D528" s="14" t="s">
        <v>119</v>
      </c>
      <c r="E528" s="14" t="s">
        <v>120</v>
      </c>
      <c r="F528" s="15" t="s">
        <v>562</v>
      </c>
      <c r="G528" s="15">
        <v>402</v>
      </c>
      <c r="H528" s="14">
        <v>2</v>
      </c>
      <c r="I528" s="14">
        <v>4</v>
      </c>
      <c r="J528" s="14">
        <v>1</v>
      </c>
      <c r="K528" s="14">
        <v>15</v>
      </c>
      <c r="L528" s="17" t="s">
        <v>336</v>
      </c>
      <c r="M528" s="17" t="s">
        <v>53</v>
      </c>
      <c r="N528" s="18">
        <v>10.210000000000001</v>
      </c>
      <c r="O528" s="18">
        <v>16.600000000000001</v>
      </c>
      <c r="P528" s="18">
        <v>41.1</v>
      </c>
      <c r="Q528" s="27">
        <f t="shared" si="31"/>
        <v>9.6762954545454551</v>
      </c>
      <c r="R528" s="18">
        <v>6336.34</v>
      </c>
      <c r="S528" s="19">
        <f t="shared" si="32"/>
        <v>5652.3996431757359</v>
      </c>
      <c r="T528" s="18">
        <v>70.41</v>
      </c>
      <c r="U528" s="18">
        <v>50.61</v>
      </c>
      <c r="V528" s="14">
        <v>0</v>
      </c>
    </row>
    <row r="529" spans="1:22" x14ac:dyDescent="0.25">
      <c r="A529" s="12">
        <v>2025</v>
      </c>
      <c r="B529" s="3" t="s">
        <v>539</v>
      </c>
      <c r="C529" s="14" t="s">
        <v>118</v>
      </c>
      <c r="D529" s="14" t="s">
        <v>119</v>
      </c>
      <c r="E529" s="14" t="s">
        <v>120</v>
      </c>
      <c r="F529" s="15" t="s">
        <v>563</v>
      </c>
      <c r="G529" s="15">
        <v>403</v>
      </c>
      <c r="H529" s="14">
        <v>3</v>
      </c>
      <c r="I529" s="14">
        <v>4</v>
      </c>
      <c r="J529" s="14">
        <v>2</v>
      </c>
      <c r="K529" s="14">
        <v>13</v>
      </c>
      <c r="L529" s="17" t="s">
        <v>336</v>
      </c>
      <c r="M529" s="6" t="s">
        <v>658</v>
      </c>
      <c r="N529" s="18">
        <v>11.12</v>
      </c>
      <c r="O529" s="18">
        <v>16.2</v>
      </c>
      <c r="P529" s="18">
        <v>41.5</v>
      </c>
      <c r="Q529" s="27">
        <f t="shared" si="31"/>
        <v>10.589272727272727</v>
      </c>
      <c r="R529" s="18">
        <v>6934.19</v>
      </c>
      <c r="S529" s="19">
        <f t="shared" si="32"/>
        <v>6185.7181088314001</v>
      </c>
      <c r="T529" s="18">
        <v>69.739999999999995</v>
      </c>
      <c r="U529" s="18">
        <v>45.69</v>
      </c>
      <c r="V529" s="14">
        <v>1</v>
      </c>
    </row>
    <row r="530" spans="1:22" x14ac:dyDescent="0.25">
      <c r="A530" s="12">
        <v>2025</v>
      </c>
      <c r="B530" s="3" t="s">
        <v>539</v>
      </c>
      <c r="C530" s="14" t="s">
        <v>118</v>
      </c>
      <c r="D530" s="14" t="s">
        <v>119</v>
      </c>
      <c r="E530" s="14" t="s">
        <v>120</v>
      </c>
      <c r="F530" s="15" t="s">
        <v>564</v>
      </c>
      <c r="G530" s="15">
        <v>404</v>
      </c>
      <c r="H530" s="14">
        <v>4</v>
      </c>
      <c r="I530" s="14">
        <v>4</v>
      </c>
      <c r="J530" s="14">
        <v>2</v>
      </c>
      <c r="K530" s="14">
        <v>19</v>
      </c>
      <c r="L530" s="17" t="s">
        <v>42</v>
      </c>
      <c r="M530" s="17" t="s">
        <v>53</v>
      </c>
      <c r="N530" s="18">
        <v>7.83</v>
      </c>
      <c r="O530" s="18">
        <v>16.600000000000001</v>
      </c>
      <c r="P530" s="18">
        <v>41.3</v>
      </c>
      <c r="Q530" s="27">
        <f t="shared" si="31"/>
        <v>7.4207045454545453</v>
      </c>
      <c r="R530" s="18">
        <v>4859.3100000000004</v>
      </c>
      <c r="S530" s="19">
        <f t="shared" si="32"/>
        <v>4334.7992863514719</v>
      </c>
      <c r="T530" s="18">
        <v>72.349999999999994</v>
      </c>
      <c r="U530" s="18">
        <v>57.48</v>
      </c>
      <c r="V530" s="14">
        <v>1</v>
      </c>
    </row>
    <row r="531" spans="1:22" x14ac:dyDescent="0.25">
      <c r="A531" s="12">
        <v>2025</v>
      </c>
      <c r="B531" s="3" t="s">
        <v>539</v>
      </c>
      <c r="C531" s="14" t="s">
        <v>118</v>
      </c>
      <c r="D531" s="14" t="s">
        <v>119</v>
      </c>
      <c r="E531" s="14" t="s">
        <v>120</v>
      </c>
      <c r="F531" s="15" t="s">
        <v>565</v>
      </c>
      <c r="G531" s="15">
        <v>405</v>
      </c>
      <c r="H531" s="14">
        <v>5</v>
      </c>
      <c r="I531" s="14">
        <v>4</v>
      </c>
      <c r="J531" s="14">
        <v>2</v>
      </c>
      <c r="K531" s="14">
        <v>3</v>
      </c>
      <c r="L531" s="17" t="s">
        <v>100</v>
      </c>
      <c r="M531" s="17" t="s">
        <v>53</v>
      </c>
      <c r="N531" s="18">
        <v>7.08</v>
      </c>
      <c r="O531" s="18">
        <v>15.2</v>
      </c>
      <c r="P531" s="18">
        <v>42.1</v>
      </c>
      <c r="Q531" s="27">
        <f t="shared" si="31"/>
        <v>6.8225454545454545</v>
      </c>
      <c r="R531" s="18">
        <v>4467.62</v>
      </c>
      <c r="S531" s="19">
        <f t="shared" si="32"/>
        <v>3985.3880463871542</v>
      </c>
      <c r="T531" s="18">
        <v>65.599999999999994</v>
      </c>
      <c r="U531" s="18">
        <v>35.26</v>
      </c>
      <c r="V531" s="14">
        <v>2</v>
      </c>
    </row>
    <row r="532" spans="1:22" x14ac:dyDescent="0.25">
      <c r="A532" s="12">
        <v>2025</v>
      </c>
      <c r="B532" s="3" t="s">
        <v>539</v>
      </c>
      <c r="C532" s="14" t="s">
        <v>118</v>
      </c>
      <c r="D532" s="14" t="s">
        <v>119</v>
      </c>
      <c r="E532" s="14" t="s">
        <v>120</v>
      </c>
      <c r="F532" s="15" t="s">
        <v>566</v>
      </c>
      <c r="G532" s="15">
        <v>406</v>
      </c>
      <c r="H532" s="14">
        <v>6</v>
      </c>
      <c r="I532" s="14">
        <v>4</v>
      </c>
      <c r="J532" s="14">
        <v>3</v>
      </c>
      <c r="K532" s="14">
        <v>20</v>
      </c>
      <c r="L532" s="17" t="s">
        <v>42</v>
      </c>
      <c r="M532" s="17" t="s">
        <v>603</v>
      </c>
      <c r="N532" s="18">
        <v>7.97</v>
      </c>
      <c r="O532" s="18">
        <v>15.1</v>
      </c>
      <c r="P532" s="18">
        <v>42.2</v>
      </c>
      <c r="Q532" s="27">
        <f t="shared" si="31"/>
        <v>7.689238636363636</v>
      </c>
      <c r="R532" s="18">
        <v>5035.1499999999996</v>
      </c>
      <c r="S532" s="19">
        <f t="shared" si="32"/>
        <v>4491.6592328278321</v>
      </c>
      <c r="T532" s="18">
        <v>71.540000000000006</v>
      </c>
      <c r="U532" s="18">
        <v>57.22</v>
      </c>
      <c r="V532" s="14">
        <v>1</v>
      </c>
    </row>
    <row r="533" spans="1:22" x14ac:dyDescent="0.25">
      <c r="A533" s="12">
        <v>2025</v>
      </c>
      <c r="B533" s="3" t="s">
        <v>539</v>
      </c>
      <c r="C533" s="14" t="s">
        <v>118</v>
      </c>
      <c r="D533" s="14" t="s">
        <v>119</v>
      </c>
      <c r="E533" s="14" t="s">
        <v>120</v>
      </c>
      <c r="F533" s="15" t="s">
        <v>567</v>
      </c>
      <c r="G533" s="15">
        <v>407</v>
      </c>
      <c r="H533" s="14">
        <v>7</v>
      </c>
      <c r="I533" s="14">
        <v>4</v>
      </c>
      <c r="J533" s="14">
        <v>3</v>
      </c>
      <c r="K533" s="14">
        <v>3</v>
      </c>
      <c r="L533" s="17" t="s">
        <v>100</v>
      </c>
      <c r="M533" s="17" t="s">
        <v>53</v>
      </c>
      <c r="N533" s="18">
        <v>6.6</v>
      </c>
      <c r="O533" s="18">
        <v>15.9</v>
      </c>
      <c r="P533" s="18">
        <v>41.3</v>
      </c>
      <c r="Q533" s="27">
        <f t="shared" si="31"/>
        <v>6.3074999999999992</v>
      </c>
      <c r="R533" s="18">
        <v>4130.3500000000004</v>
      </c>
      <c r="S533" s="19">
        <f t="shared" si="32"/>
        <v>3684.5227475468337</v>
      </c>
      <c r="T533" s="18">
        <v>66.099999999999994</v>
      </c>
      <c r="U533" s="18">
        <v>34.94</v>
      </c>
      <c r="V533" s="14">
        <v>0</v>
      </c>
    </row>
    <row r="534" spans="1:22" x14ac:dyDescent="0.25">
      <c r="A534" s="12">
        <v>2025</v>
      </c>
      <c r="B534" s="3" t="s">
        <v>539</v>
      </c>
      <c r="C534" s="14" t="s">
        <v>118</v>
      </c>
      <c r="D534" s="14" t="s">
        <v>119</v>
      </c>
      <c r="E534" s="14" t="s">
        <v>120</v>
      </c>
      <c r="F534" s="15" t="s">
        <v>568</v>
      </c>
      <c r="G534" s="15">
        <v>501</v>
      </c>
      <c r="H534" s="14">
        <v>1</v>
      </c>
      <c r="I534" s="14">
        <v>5</v>
      </c>
      <c r="J534" s="14">
        <v>1</v>
      </c>
      <c r="K534" s="14">
        <v>9</v>
      </c>
      <c r="L534" s="17" t="s">
        <v>69</v>
      </c>
      <c r="M534" s="6" t="s">
        <v>658</v>
      </c>
      <c r="N534" s="18">
        <v>7.98</v>
      </c>
      <c r="O534" s="18">
        <v>15.2</v>
      </c>
      <c r="P534" s="18">
        <v>42</v>
      </c>
      <c r="Q534" s="27">
        <f t="shared" si="31"/>
        <v>7.6898181818181826</v>
      </c>
      <c r="R534" s="18">
        <v>5035.53</v>
      </c>
      <c r="S534" s="19">
        <f t="shared" si="32"/>
        <v>4491.9982158786797</v>
      </c>
      <c r="T534" s="18">
        <v>68.900000000000006</v>
      </c>
      <c r="U534" s="18">
        <v>49.63</v>
      </c>
      <c r="V534" s="14">
        <v>1</v>
      </c>
    </row>
    <row r="535" spans="1:22" x14ac:dyDescent="0.25">
      <c r="A535" s="12">
        <v>2025</v>
      </c>
      <c r="B535" s="3" t="s">
        <v>539</v>
      </c>
      <c r="C535" s="14" t="s">
        <v>118</v>
      </c>
      <c r="D535" s="14" t="s">
        <v>119</v>
      </c>
      <c r="E535" s="14" t="s">
        <v>120</v>
      </c>
      <c r="F535" s="15" t="s">
        <v>569</v>
      </c>
      <c r="G535" s="15">
        <v>502</v>
      </c>
      <c r="H535" s="14">
        <v>2</v>
      </c>
      <c r="I535" s="14">
        <v>5</v>
      </c>
      <c r="J535" s="14">
        <v>1</v>
      </c>
      <c r="K535" s="14">
        <v>1</v>
      </c>
      <c r="L535" s="17" t="s">
        <v>100</v>
      </c>
      <c r="M535" s="6" t="s">
        <v>658</v>
      </c>
      <c r="N535" s="18">
        <v>7</v>
      </c>
      <c r="O535" s="18">
        <v>16.5</v>
      </c>
      <c r="P535" s="18">
        <v>41.2</v>
      </c>
      <c r="Q535" s="27">
        <f t="shared" si="31"/>
        <v>6.6420454545454541</v>
      </c>
      <c r="R535" s="18">
        <v>4349.42</v>
      </c>
      <c r="S535" s="19">
        <f t="shared" si="32"/>
        <v>3879.9464763603928</v>
      </c>
      <c r="T535" s="18">
        <v>66.86</v>
      </c>
      <c r="U535" s="18">
        <v>37.44</v>
      </c>
      <c r="V535" s="14">
        <v>0</v>
      </c>
    </row>
    <row r="536" spans="1:22" x14ac:dyDescent="0.25">
      <c r="A536" s="12">
        <v>2025</v>
      </c>
      <c r="B536" s="3" t="s">
        <v>539</v>
      </c>
      <c r="C536" s="14" t="s">
        <v>118</v>
      </c>
      <c r="D536" s="14" t="s">
        <v>119</v>
      </c>
      <c r="E536" s="14" t="s">
        <v>120</v>
      </c>
      <c r="F536" s="15" t="s">
        <v>570</v>
      </c>
      <c r="G536" s="15">
        <v>503</v>
      </c>
      <c r="H536" s="14">
        <v>3</v>
      </c>
      <c r="I536" s="14">
        <v>5</v>
      </c>
      <c r="J536" s="14">
        <v>2</v>
      </c>
      <c r="K536" s="14">
        <v>10</v>
      </c>
      <c r="L536" s="17" t="s">
        <v>69</v>
      </c>
      <c r="M536" s="17" t="s">
        <v>30</v>
      </c>
      <c r="N536" s="18">
        <v>8.84</v>
      </c>
      <c r="O536" s="18">
        <v>15.9</v>
      </c>
      <c r="P536" s="18">
        <v>42.1</v>
      </c>
      <c r="Q536" s="27">
        <f t="shared" si="31"/>
        <v>8.4482272727272729</v>
      </c>
      <c r="R536" s="18">
        <v>5532.16</v>
      </c>
      <c r="S536" s="19">
        <f t="shared" si="32"/>
        <v>4935.0223015165029</v>
      </c>
      <c r="T536" s="18">
        <v>70.650000000000006</v>
      </c>
      <c r="U536" s="18">
        <v>51.99</v>
      </c>
      <c r="V536" s="14">
        <v>1</v>
      </c>
    </row>
    <row r="537" spans="1:22" x14ac:dyDescent="0.25">
      <c r="A537" s="12">
        <v>2025</v>
      </c>
      <c r="B537" s="3" t="s">
        <v>539</v>
      </c>
      <c r="C537" s="14" t="s">
        <v>118</v>
      </c>
      <c r="D537" s="14" t="s">
        <v>119</v>
      </c>
      <c r="E537" s="14" t="s">
        <v>120</v>
      </c>
      <c r="F537" s="15" t="s">
        <v>571</v>
      </c>
      <c r="G537" s="15">
        <v>504</v>
      </c>
      <c r="H537" s="14">
        <v>4</v>
      </c>
      <c r="I537" s="14">
        <v>5</v>
      </c>
      <c r="J537" s="14">
        <v>2</v>
      </c>
      <c r="K537" s="14">
        <v>16</v>
      </c>
      <c r="L537" s="17" t="s">
        <v>336</v>
      </c>
      <c r="M537" s="17" t="s">
        <v>603</v>
      </c>
      <c r="N537" s="18">
        <v>12.04</v>
      </c>
      <c r="O537" s="18">
        <v>15.9</v>
      </c>
      <c r="P537" s="18">
        <v>41.7</v>
      </c>
      <c r="Q537" s="27">
        <f t="shared" si="31"/>
        <v>11.50640909090909</v>
      </c>
      <c r="R537" s="18">
        <v>7534.76</v>
      </c>
      <c r="S537" s="19">
        <f t="shared" si="32"/>
        <v>6721.4629794826051</v>
      </c>
      <c r="T537" s="18">
        <v>70.819999999999993</v>
      </c>
      <c r="U537" s="18">
        <v>50.57</v>
      </c>
      <c r="V537" s="14">
        <v>0</v>
      </c>
    </row>
    <row r="538" spans="1:22" x14ac:dyDescent="0.25">
      <c r="A538" s="12">
        <v>2025</v>
      </c>
      <c r="B538" s="3" t="s">
        <v>539</v>
      </c>
      <c r="C538" s="14" t="s">
        <v>118</v>
      </c>
      <c r="D538" s="14" t="s">
        <v>119</v>
      </c>
      <c r="E538" s="14" t="s">
        <v>120</v>
      </c>
      <c r="F538" s="15" t="s">
        <v>572</v>
      </c>
      <c r="G538" s="15">
        <v>505</v>
      </c>
      <c r="H538" s="14">
        <v>5</v>
      </c>
      <c r="I538" s="14">
        <v>5</v>
      </c>
      <c r="J538" s="14">
        <v>3</v>
      </c>
      <c r="K538" s="14">
        <v>12</v>
      </c>
      <c r="L538" s="17" t="s">
        <v>69</v>
      </c>
      <c r="M538" s="17" t="s">
        <v>603</v>
      </c>
      <c r="N538" s="18">
        <v>8.69</v>
      </c>
      <c r="O538" s="18">
        <v>15.8</v>
      </c>
      <c r="P538" s="18">
        <v>42</v>
      </c>
      <c r="Q538" s="27">
        <f t="shared" si="31"/>
        <v>8.3147499999999983</v>
      </c>
      <c r="R538" s="18">
        <v>5444.76</v>
      </c>
      <c r="S538" s="19">
        <f t="shared" si="32"/>
        <v>4857.0561998215881</v>
      </c>
      <c r="T538" s="18">
        <v>68.790000000000006</v>
      </c>
      <c r="U538" s="18">
        <v>46.78</v>
      </c>
      <c r="V538" s="14">
        <v>1</v>
      </c>
    </row>
    <row r="539" spans="1:22" x14ac:dyDescent="0.25">
      <c r="A539" s="12">
        <v>2025</v>
      </c>
      <c r="B539" s="3" t="s">
        <v>539</v>
      </c>
      <c r="C539" s="14" t="s">
        <v>118</v>
      </c>
      <c r="D539" s="14" t="s">
        <v>119</v>
      </c>
      <c r="E539" s="14" t="s">
        <v>120</v>
      </c>
      <c r="F539" s="15" t="s">
        <v>573</v>
      </c>
      <c r="G539" s="15">
        <v>506</v>
      </c>
      <c r="H539" s="14">
        <v>6</v>
      </c>
      <c r="I539" s="14">
        <v>5</v>
      </c>
      <c r="J539" s="14">
        <v>3</v>
      </c>
      <c r="K539" s="14">
        <v>4</v>
      </c>
      <c r="L539" s="17" t="s">
        <v>100</v>
      </c>
      <c r="M539" s="17" t="s">
        <v>603</v>
      </c>
      <c r="N539" s="18">
        <v>8.08</v>
      </c>
      <c r="O539" s="18">
        <v>16.7</v>
      </c>
      <c r="P539" s="18">
        <v>41.2</v>
      </c>
      <c r="Q539" s="27">
        <f t="shared" si="31"/>
        <v>7.6484545454545456</v>
      </c>
      <c r="R539" s="18">
        <v>5008.45</v>
      </c>
      <c r="S539" s="19">
        <f t="shared" si="32"/>
        <v>4467.8412132024978</v>
      </c>
      <c r="T539" s="18">
        <v>66.540000000000006</v>
      </c>
      <c r="U539" s="18">
        <v>35.909999999999997</v>
      </c>
      <c r="V539" s="14">
        <v>0</v>
      </c>
    </row>
    <row r="540" spans="1:22" x14ac:dyDescent="0.25">
      <c r="A540" s="12">
        <v>2025</v>
      </c>
      <c r="B540" s="3" t="s">
        <v>539</v>
      </c>
      <c r="C540" s="14" t="s">
        <v>118</v>
      </c>
      <c r="D540" s="14" t="s">
        <v>119</v>
      </c>
      <c r="E540" s="14" t="s">
        <v>120</v>
      </c>
      <c r="F540" s="15" t="s">
        <v>574</v>
      </c>
      <c r="G540" s="15">
        <v>507</v>
      </c>
      <c r="H540" s="14">
        <v>7</v>
      </c>
      <c r="I540" s="14">
        <v>5</v>
      </c>
      <c r="J540" s="14">
        <v>3</v>
      </c>
      <c r="K540" s="14">
        <v>6</v>
      </c>
      <c r="L540" s="17" t="s">
        <v>339</v>
      </c>
      <c r="M540" s="17" t="s">
        <v>30</v>
      </c>
      <c r="N540" s="18">
        <v>6.36</v>
      </c>
      <c r="O540" s="18">
        <v>17.2</v>
      </c>
      <c r="P540" s="18">
        <v>40.9</v>
      </c>
      <c r="Q540" s="27">
        <f t="shared" si="31"/>
        <v>5.9841818181818187</v>
      </c>
      <c r="R540" s="18">
        <v>3918.63</v>
      </c>
      <c r="S540" s="19">
        <f t="shared" si="32"/>
        <v>3495.655664585192</v>
      </c>
      <c r="T540" s="18">
        <v>69.2</v>
      </c>
      <c r="U540" s="18">
        <v>60.12</v>
      </c>
      <c r="V540" s="14">
        <v>1</v>
      </c>
    </row>
    <row r="541" spans="1:22" x14ac:dyDescent="0.25">
      <c r="A541" s="12">
        <v>2025</v>
      </c>
      <c r="B541" s="3" t="s">
        <v>539</v>
      </c>
      <c r="C541" s="14" t="s">
        <v>118</v>
      </c>
      <c r="D541" s="14" t="s">
        <v>119</v>
      </c>
      <c r="E541" s="14" t="s">
        <v>120</v>
      </c>
      <c r="F541" s="15" t="s">
        <v>575</v>
      </c>
      <c r="G541" s="15">
        <v>601</v>
      </c>
      <c r="H541" s="14">
        <v>1</v>
      </c>
      <c r="I541" s="14">
        <v>6</v>
      </c>
      <c r="J541" s="14">
        <v>1</v>
      </c>
      <c r="K541" s="14">
        <v>14</v>
      </c>
      <c r="L541" s="17" t="s">
        <v>336</v>
      </c>
      <c r="M541" s="17" t="s">
        <v>30</v>
      </c>
      <c r="N541" s="18">
        <v>10.39</v>
      </c>
      <c r="O541" s="18">
        <v>14.9</v>
      </c>
      <c r="P541" s="18">
        <v>42.2</v>
      </c>
      <c r="Q541" s="27">
        <f t="shared" si="31"/>
        <v>10.047602272727273</v>
      </c>
      <c r="R541" s="18">
        <v>6579.49</v>
      </c>
      <c r="S541" s="19">
        <f t="shared" si="32"/>
        <v>5869.3041926851029</v>
      </c>
      <c r="T541" s="18">
        <v>70.569999999999993</v>
      </c>
      <c r="U541" s="18">
        <v>50.15</v>
      </c>
      <c r="V541" s="14">
        <v>0</v>
      </c>
    </row>
    <row r="542" spans="1:22" x14ac:dyDescent="0.25">
      <c r="A542" s="12">
        <v>2025</v>
      </c>
      <c r="B542" s="3" t="s">
        <v>539</v>
      </c>
      <c r="C542" s="14" t="s">
        <v>118</v>
      </c>
      <c r="D542" s="14" t="s">
        <v>119</v>
      </c>
      <c r="E542" s="14" t="s">
        <v>120</v>
      </c>
      <c r="F542" s="15" t="s">
        <v>576</v>
      </c>
      <c r="G542" s="15">
        <v>602</v>
      </c>
      <c r="H542" s="14">
        <v>2</v>
      </c>
      <c r="I542" s="14">
        <v>6</v>
      </c>
      <c r="J542" s="14">
        <v>1</v>
      </c>
      <c r="K542" s="14">
        <v>16</v>
      </c>
      <c r="L542" s="17" t="s">
        <v>336</v>
      </c>
      <c r="M542" s="17" t="s">
        <v>603</v>
      </c>
      <c r="N542" s="18">
        <v>11.71</v>
      </c>
      <c r="O542" s="18">
        <v>15.3</v>
      </c>
      <c r="P542" s="18">
        <v>42.2</v>
      </c>
      <c r="Q542" s="27">
        <f t="shared" si="31"/>
        <v>11.270875000000002</v>
      </c>
      <c r="R542" s="18">
        <v>7380.52</v>
      </c>
      <c r="S542" s="19">
        <f t="shared" si="32"/>
        <v>6583.8715432649424</v>
      </c>
      <c r="T542" s="18">
        <v>70.8</v>
      </c>
      <c r="U542" s="18">
        <v>52.11</v>
      </c>
      <c r="V542" s="14">
        <v>1</v>
      </c>
    </row>
    <row r="543" spans="1:22" x14ac:dyDescent="0.25">
      <c r="A543" s="12">
        <v>2025</v>
      </c>
      <c r="B543" s="3" t="s">
        <v>539</v>
      </c>
      <c r="C543" s="14" t="s">
        <v>118</v>
      </c>
      <c r="D543" s="14" t="s">
        <v>119</v>
      </c>
      <c r="E543" s="14" t="s">
        <v>120</v>
      </c>
      <c r="F543" s="15" t="s">
        <v>577</v>
      </c>
      <c r="G543" s="15">
        <v>603</v>
      </c>
      <c r="H543" s="14">
        <v>3</v>
      </c>
      <c r="I543" s="14">
        <v>6</v>
      </c>
      <c r="J543" s="14">
        <v>2</v>
      </c>
      <c r="K543" s="14">
        <v>18</v>
      </c>
      <c r="L543" s="17" t="s">
        <v>42</v>
      </c>
      <c r="M543" s="17" t="s">
        <v>30</v>
      </c>
      <c r="N543" s="18">
        <v>8.1199999999999992</v>
      </c>
      <c r="O543" s="18">
        <v>16</v>
      </c>
      <c r="P543" s="18">
        <v>41.9</v>
      </c>
      <c r="Q543" s="27">
        <f t="shared" si="31"/>
        <v>7.7509090909090901</v>
      </c>
      <c r="R543" s="18">
        <v>5075.54</v>
      </c>
      <c r="S543" s="19">
        <f t="shared" si="32"/>
        <v>4527.6895628902766</v>
      </c>
      <c r="T543" s="18">
        <v>73.5</v>
      </c>
      <c r="U543" s="18">
        <v>61.57</v>
      </c>
      <c r="V543" s="14">
        <v>0</v>
      </c>
    </row>
    <row r="544" spans="1:22" x14ac:dyDescent="0.25">
      <c r="A544" s="12">
        <v>2025</v>
      </c>
      <c r="B544" s="3" t="s">
        <v>539</v>
      </c>
      <c r="C544" s="14" t="s">
        <v>118</v>
      </c>
      <c r="D544" s="14" t="s">
        <v>119</v>
      </c>
      <c r="E544" s="14" t="s">
        <v>120</v>
      </c>
      <c r="F544" s="15" t="s">
        <v>578</v>
      </c>
      <c r="G544" s="15">
        <v>604</v>
      </c>
      <c r="H544" s="14">
        <v>4</v>
      </c>
      <c r="I544" s="14">
        <v>6</v>
      </c>
      <c r="J544" s="14">
        <v>2</v>
      </c>
      <c r="K544" s="14">
        <v>1</v>
      </c>
      <c r="L544" s="17" t="s">
        <v>100</v>
      </c>
      <c r="M544" s="6" t="s">
        <v>658</v>
      </c>
      <c r="N544" s="18">
        <v>6.3</v>
      </c>
      <c r="O544" s="18">
        <v>15.5</v>
      </c>
      <c r="P544" s="18">
        <v>41.6</v>
      </c>
      <c r="Q544" s="27">
        <f t="shared" si="31"/>
        <v>6.0494318181818185</v>
      </c>
      <c r="R544" s="18">
        <v>3961.36</v>
      </c>
      <c r="S544" s="19">
        <f t="shared" si="32"/>
        <v>3533.7734165923284</v>
      </c>
      <c r="T544" s="18">
        <v>64.66</v>
      </c>
      <c r="U544" s="18">
        <v>30.85</v>
      </c>
      <c r="V544" s="14">
        <v>1</v>
      </c>
    </row>
    <row r="545" spans="1:22" x14ac:dyDescent="0.25">
      <c r="A545" s="12">
        <v>2025</v>
      </c>
      <c r="B545" s="3" t="s">
        <v>539</v>
      </c>
      <c r="C545" s="14" t="s">
        <v>118</v>
      </c>
      <c r="D545" s="14" t="s">
        <v>119</v>
      </c>
      <c r="E545" s="14" t="s">
        <v>120</v>
      </c>
      <c r="F545" s="15" t="s">
        <v>579</v>
      </c>
      <c r="G545" s="15">
        <v>605</v>
      </c>
      <c r="H545" s="14">
        <v>5</v>
      </c>
      <c r="I545" s="14">
        <v>6</v>
      </c>
      <c r="J545" s="14">
        <v>3</v>
      </c>
      <c r="K545" s="14">
        <v>7</v>
      </c>
      <c r="L545" s="17" t="s">
        <v>339</v>
      </c>
      <c r="M545" s="17" t="s">
        <v>53</v>
      </c>
      <c r="N545" s="18">
        <v>5.63</v>
      </c>
      <c r="O545" s="18">
        <v>19.899999999999999</v>
      </c>
      <c r="P545" s="18">
        <v>40.1</v>
      </c>
      <c r="Q545" s="27">
        <f t="shared" si="31"/>
        <v>5.1245795454545462</v>
      </c>
      <c r="R545" s="18">
        <v>3355.74</v>
      </c>
      <c r="S545" s="19">
        <f t="shared" si="32"/>
        <v>2993.5236396074934</v>
      </c>
      <c r="T545" s="18">
        <v>69.489999999999995</v>
      </c>
      <c r="U545" s="18">
        <v>60.84</v>
      </c>
      <c r="V545" s="14">
        <v>2</v>
      </c>
    </row>
    <row r="546" spans="1:22" x14ac:dyDescent="0.25">
      <c r="A546" s="12">
        <v>2025</v>
      </c>
      <c r="B546" s="3" t="s">
        <v>539</v>
      </c>
      <c r="C546" s="14" t="s">
        <v>118</v>
      </c>
      <c r="D546" s="14" t="s">
        <v>119</v>
      </c>
      <c r="E546" s="14" t="s">
        <v>120</v>
      </c>
      <c r="F546" s="15" t="s">
        <v>580</v>
      </c>
      <c r="G546" s="15">
        <v>606</v>
      </c>
      <c r="H546" s="14">
        <v>6</v>
      </c>
      <c r="I546" s="14">
        <v>6</v>
      </c>
      <c r="J546" s="14">
        <v>3</v>
      </c>
      <c r="K546" s="14">
        <v>10</v>
      </c>
      <c r="L546" s="17" t="s">
        <v>69</v>
      </c>
      <c r="M546" s="17" t="s">
        <v>30</v>
      </c>
      <c r="N546" s="18">
        <v>7.63</v>
      </c>
      <c r="O546" s="18">
        <v>14.4</v>
      </c>
      <c r="P546" s="18">
        <v>42.7</v>
      </c>
      <c r="Q546" s="27">
        <f t="shared" si="31"/>
        <v>7.4219090909090903</v>
      </c>
      <c r="R546" s="18">
        <v>4860.1000000000004</v>
      </c>
      <c r="S546" s="19">
        <f t="shared" si="32"/>
        <v>4335.5040142729713</v>
      </c>
      <c r="T546" s="18">
        <v>67.28</v>
      </c>
      <c r="U546" s="18">
        <v>42.18</v>
      </c>
      <c r="V546" s="14">
        <v>0</v>
      </c>
    </row>
    <row r="547" spans="1:22" x14ac:dyDescent="0.25">
      <c r="A547" s="12">
        <v>2025</v>
      </c>
      <c r="B547" s="3" t="s">
        <v>539</v>
      </c>
      <c r="C547" s="14" t="s">
        <v>118</v>
      </c>
      <c r="D547" s="14" t="s">
        <v>119</v>
      </c>
      <c r="E547" s="14" t="s">
        <v>120</v>
      </c>
      <c r="F547" s="15" t="s">
        <v>581</v>
      </c>
      <c r="G547" s="15">
        <v>607</v>
      </c>
      <c r="H547" s="14">
        <v>7</v>
      </c>
      <c r="I547" s="14">
        <v>6</v>
      </c>
      <c r="J547" s="14">
        <v>3</v>
      </c>
      <c r="K547" s="14">
        <v>8</v>
      </c>
      <c r="L547" s="17" t="s">
        <v>339</v>
      </c>
      <c r="M547" s="17" t="s">
        <v>603</v>
      </c>
      <c r="N547" s="18">
        <v>5.55</v>
      </c>
      <c r="O547" s="18">
        <v>18.100000000000001</v>
      </c>
      <c r="P547" s="18">
        <v>40.700000000000003</v>
      </c>
      <c r="Q547" s="27">
        <f t="shared" si="31"/>
        <v>5.1652840909090907</v>
      </c>
      <c r="R547" s="18">
        <v>3382.39</v>
      </c>
      <c r="S547" s="19">
        <f t="shared" si="32"/>
        <v>3017.2970561998213</v>
      </c>
      <c r="T547" s="18">
        <v>68.83</v>
      </c>
      <c r="U547" s="18">
        <v>61.25</v>
      </c>
      <c r="V547" s="14">
        <v>1</v>
      </c>
    </row>
    <row r="548" spans="1:22" x14ac:dyDescent="0.25">
      <c r="A548" s="12">
        <v>2025</v>
      </c>
      <c r="B548" s="3" t="s">
        <v>539</v>
      </c>
      <c r="C548" s="14" t="s">
        <v>118</v>
      </c>
      <c r="D548" s="14" t="s">
        <v>119</v>
      </c>
      <c r="E548" s="14" t="s">
        <v>120</v>
      </c>
      <c r="F548" s="15" t="s">
        <v>582</v>
      </c>
      <c r="G548" s="15">
        <v>701</v>
      </c>
      <c r="H548" s="14">
        <v>1</v>
      </c>
      <c r="I548" s="14">
        <v>7</v>
      </c>
      <c r="J548" s="14">
        <v>1</v>
      </c>
      <c r="K548" s="14">
        <v>8</v>
      </c>
      <c r="L548" s="17" t="s">
        <v>339</v>
      </c>
      <c r="M548" s="17" t="s">
        <v>603</v>
      </c>
      <c r="N548" s="18">
        <v>5.49</v>
      </c>
      <c r="O548" s="18">
        <v>17.8</v>
      </c>
      <c r="P548" s="18">
        <v>40.799999999999997</v>
      </c>
      <c r="Q548" s="27">
        <f t="shared" si="31"/>
        <v>5.1281590909090911</v>
      </c>
      <c r="R548" s="18">
        <v>3358.08</v>
      </c>
      <c r="S548" s="19">
        <f t="shared" si="32"/>
        <v>2995.6110615521857</v>
      </c>
      <c r="T548" s="18">
        <v>69.03</v>
      </c>
      <c r="U548" s="18">
        <v>61.71</v>
      </c>
      <c r="V548" s="14">
        <v>1</v>
      </c>
    </row>
    <row r="549" spans="1:22" x14ac:dyDescent="0.25">
      <c r="A549" s="12">
        <v>2025</v>
      </c>
      <c r="B549" s="3" t="s">
        <v>539</v>
      </c>
      <c r="C549" s="14" t="s">
        <v>118</v>
      </c>
      <c r="D549" s="14" t="s">
        <v>119</v>
      </c>
      <c r="E549" s="14" t="s">
        <v>120</v>
      </c>
      <c r="F549" s="15" t="s">
        <v>583</v>
      </c>
      <c r="G549" s="15">
        <v>702</v>
      </c>
      <c r="H549" s="14">
        <v>2</v>
      </c>
      <c r="I549" s="14">
        <v>7</v>
      </c>
      <c r="J549" s="14">
        <v>1</v>
      </c>
      <c r="K549" s="14">
        <v>19</v>
      </c>
      <c r="L549" s="17" t="s">
        <v>42</v>
      </c>
      <c r="M549" s="17" t="s">
        <v>53</v>
      </c>
      <c r="N549" s="18">
        <v>7.04</v>
      </c>
      <c r="O549" s="18">
        <v>14.8</v>
      </c>
      <c r="P549" s="18">
        <v>42.1</v>
      </c>
      <c r="Q549" s="27">
        <f t="shared" si="31"/>
        <v>6.8159999999999998</v>
      </c>
      <c r="R549" s="18">
        <v>4463.33</v>
      </c>
      <c r="S549" s="19">
        <f t="shared" si="32"/>
        <v>3981.5611061552186</v>
      </c>
      <c r="T549" s="18">
        <v>70.83</v>
      </c>
      <c r="U549" s="18">
        <v>55.53</v>
      </c>
      <c r="V549" s="14">
        <v>0</v>
      </c>
    </row>
    <row r="550" spans="1:22" x14ac:dyDescent="0.25">
      <c r="A550" s="12">
        <v>2025</v>
      </c>
      <c r="B550" s="3" t="s">
        <v>539</v>
      </c>
      <c r="C550" s="14" t="s">
        <v>118</v>
      </c>
      <c r="D550" s="14" t="s">
        <v>119</v>
      </c>
      <c r="E550" s="14" t="s">
        <v>120</v>
      </c>
      <c r="F550" s="15" t="s">
        <v>584</v>
      </c>
      <c r="G550" s="15">
        <v>703</v>
      </c>
      <c r="H550" s="14">
        <v>3</v>
      </c>
      <c r="I550" s="14">
        <v>7</v>
      </c>
      <c r="J550" s="14">
        <v>2</v>
      </c>
      <c r="K550" s="14">
        <v>17</v>
      </c>
      <c r="L550" s="17" t="s">
        <v>42</v>
      </c>
      <c r="M550" s="6" t="s">
        <v>658</v>
      </c>
      <c r="N550" s="18">
        <v>7.74</v>
      </c>
      <c r="O550" s="18">
        <v>15.5</v>
      </c>
      <c r="P550" s="18">
        <v>42.1</v>
      </c>
      <c r="Q550" s="27">
        <f t="shared" si="31"/>
        <v>7.4321590909090913</v>
      </c>
      <c r="R550" s="18">
        <v>4866.8100000000004</v>
      </c>
      <c r="S550" s="19">
        <f t="shared" si="32"/>
        <v>4341.4897413024091</v>
      </c>
      <c r="T550" s="18">
        <v>72.400000000000006</v>
      </c>
      <c r="U550" s="18">
        <v>59.3</v>
      </c>
      <c r="V550" s="14">
        <v>0</v>
      </c>
    </row>
    <row r="551" spans="1:22" x14ac:dyDescent="0.25">
      <c r="A551" s="12">
        <v>2025</v>
      </c>
      <c r="B551" s="3" t="s">
        <v>539</v>
      </c>
      <c r="C551" s="14" t="s">
        <v>118</v>
      </c>
      <c r="D551" s="14" t="s">
        <v>119</v>
      </c>
      <c r="E551" s="14" t="s">
        <v>120</v>
      </c>
      <c r="F551" s="15" t="s">
        <v>585</v>
      </c>
      <c r="G551" s="15">
        <v>704</v>
      </c>
      <c r="H551" s="14">
        <v>4</v>
      </c>
      <c r="I551" s="14">
        <v>7</v>
      </c>
      <c r="J551" s="14">
        <v>2</v>
      </c>
      <c r="K551" s="14">
        <v>7</v>
      </c>
      <c r="L551" s="17" t="s">
        <v>339</v>
      </c>
      <c r="M551" s="17" t="s">
        <v>53</v>
      </c>
      <c r="N551" s="18">
        <v>6.05</v>
      </c>
      <c r="O551" s="18">
        <v>18.2</v>
      </c>
      <c r="P551" s="18">
        <v>40.700000000000003</v>
      </c>
      <c r="Q551" s="27">
        <f t="shared" si="31"/>
        <v>5.6237500000000002</v>
      </c>
      <c r="R551" s="18">
        <v>3682.61</v>
      </c>
      <c r="S551" s="19">
        <f t="shared" si="32"/>
        <v>3285.1115075825155</v>
      </c>
      <c r="T551" s="18">
        <v>69.38</v>
      </c>
      <c r="U551" s="18">
        <v>62.17</v>
      </c>
      <c r="V551" s="14">
        <v>1</v>
      </c>
    </row>
    <row r="552" spans="1:22" x14ac:dyDescent="0.25">
      <c r="A552" s="12">
        <v>2025</v>
      </c>
      <c r="B552" s="3" t="s">
        <v>539</v>
      </c>
      <c r="C552" s="14" t="s">
        <v>118</v>
      </c>
      <c r="D552" s="14" t="s">
        <v>119</v>
      </c>
      <c r="E552" s="14" t="s">
        <v>120</v>
      </c>
      <c r="F552" s="15" t="s">
        <v>586</v>
      </c>
      <c r="G552" s="15">
        <v>705</v>
      </c>
      <c r="H552" s="14">
        <v>5</v>
      </c>
      <c r="I552" s="14">
        <v>7</v>
      </c>
      <c r="J552" s="14">
        <v>3</v>
      </c>
      <c r="K552" s="14">
        <v>5</v>
      </c>
      <c r="L552" s="17" t="s">
        <v>339</v>
      </c>
      <c r="M552" s="6" t="s">
        <v>658</v>
      </c>
      <c r="N552" s="18">
        <v>6.8</v>
      </c>
      <c r="O552" s="18">
        <v>22.4</v>
      </c>
      <c r="P552" s="18">
        <v>39.4</v>
      </c>
      <c r="Q552" s="27">
        <f t="shared" si="31"/>
        <v>5.9963636363636361</v>
      </c>
      <c r="R552" s="18">
        <v>3926.61</v>
      </c>
      <c r="S552" s="19">
        <f t="shared" si="32"/>
        <v>3502.7743086529886</v>
      </c>
      <c r="T552" s="18">
        <v>69.010000000000005</v>
      </c>
      <c r="U552" s="18">
        <v>62.42</v>
      </c>
      <c r="V552" s="14">
        <v>0</v>
      </c>
    </row>
    <row r="553" spans="1:22" x14ac:dyDescent="0.25">
      <c r="A553" s="12">
        <v>2025</v>
      </c>
      <c r="B553" s="3" t="s">
        <v>539</v>
      </c>
      <c r="C553" s="14" t="s">
        <v>118</v>
      </c>
      <c r="D553" s="14" t="s">
        <v>119</v>
      </c>
      <c r="E553" s="14" t="s">
        <v>120</v>
      </c>
      <c r="F553" s="15" t="s">
        <v>587</v>
      </c>
      <c r="G553" s="15">
        <v>706</v>
      </c>
      <c r="H553" s="14">
        <v>6</v>
      </c>
      <c r="I553" s="14">
        <v>7</v>
      </c>
      <c r="J553" s="14">
        <v>3</v>
      </c>
      <c r="K553" s="14">
        <v>2</v>
      </c>
      <c r="L553" s="17" t="s">
        <v>100</v>
      </c>
      <c r="M553" s="17" t="s">
        <v>30</v>
      </c>
      <c r="N553" s="18">
        <v>6.82</v>
      </c>
      <c r="O553" s="18">
        <v>15.7</v>
      </c>
      <c r="P553" s="18">
        <v>41.6</v>
      </c>
      <c r="Q553" s="27">
        <f t="shared" si="31"/>
        <v>6.5332500000000007</v>
      </c>
      <c r="R553" s="18">
        <v>4278.18</v>
      </c>
      <c r="S553" s="19">
        <f t="shared" si="32"/>
        <v>3816.3960749330959</v>
      </c>
      <c r="T553" s="18">
        <v>63.28</v>
      </c>
      <c r="U553" s="18">
        <v>29.24</v>
      </c>
      <c r="V553" s="14">
        <v>1</v>
      </c>
    </row>
    <row r="554" spans="1:22" x14ac:dyDescent="0.25">
      <c r="A554" s="12">
        <v>2025</v>
      </c>
      <c r="B554" s="3" t="s">
        <v>539</v>
      </c>
      <c r="C554" s="14" t="s">
        <v>118</v>
      </c>
      <c r="D554" s="14" t="s">
        <v>119</v>
      </c>
      <c r="E554" s="14" t="s">
        <v>120</v>
      </c>
      <c r="F554" s="15" t="s">
        <v>588</v>
      </c>
      <c r="G554" s="15">
        <v>707</v>
      </c>
      <c r="H554" s="14">
        <v>7</v>
      </c>
      <c r="I554" s="14">
        <v>7</v>
      </c>
      <c r="J554" s="14" t="s">
        <v>268</v>
      </c>
      <c r="K554" s="14" t="s">
        <v>268</v>
      </c>
      <c r="L554" s="17" t="s">
        <v>269</v>
      </c>
      <c r="M554" s="17"/>
      <c r="N554" s="18">
        <v>3.11</v>
      </c>
      <c r="O554" s="18">
        <v>16.3</v>
      </c>
      <c r="P554" s="18">
        <v>41.6</v>
      </c>
      <c r="Q554" s="27">
        <f t="shared" si="31"/>
        <v>2.9580340909090905</v>
      </c>
      <c r="R554" s="18">
        <v>1937.01</v>
      </c>
      <c r="S554" s="19">
        <f t="shared" si="32"/>
        <v>1727.9304192685101</v>
      </c>
      <c r="T554" s="18">
        <v>69.349999999999994</v>
      </c>
      <c r="U554" s="18">
        <v>49.15</v>
      </c>
      <c r="V554" s="14"/>
    </row>
    <row r="555" spans="1:22" x14ac:dyDescent="0.25">
      <c r="A555" s="12">
        <v>2025</v>
      </c>
      <c r="B555" s="3" t="s">
        <v>539</v>
      </c>
      <c r="C555" s="14" t="s">
        <v>118</v>
      </c>
      <c r="D555" s="14" t="s">
        <v>119</v>
      </c>
      <c r="E555" s="14" t="s">
        <v>120</v>
      </c>
      <c r="F555" s="15" t="s">
        <v>589</v>
      </c>
      <c r="G555" s="15">
        <v>801</v>
      </c>
      <c r="H555" s="14">
        <v>1</v>
      </c>
      <c r="I555" s="14">
        <v>8</v>
      </c>
      <c r="J555" s="14">
        <v>1</v>
      </c>
      <c r="K555" s="14">
        <v>7</v>
      </c>
      <c r="L555" s="17" t="s">
        <v>339</v>
      </c>
      <c r="M555" s="17" t="s">
        <v>53</v>
      </c>
      <c r="N555" s="18">
        <v>6.34</v>
      </c>
      <c r="O555" s="18">
        <v>19.899999999999999</v>
      </c>
      <c r="P555" s="18">
        <v>39.700000000000003</v>
      </c>
      <c r="Q555" s="27">
        <f t="shared" si="31"/>
        <v>5.770840909090909</v>
      </c>
      <c r="R555" s="18">
        <v>3778.93</v>
      </c>
      <c r="S555" s="19">
        <f t="shared" si="32"/>
        <v>3371.0347903657448</v>
      </c>
      <c r="T555" s="18">
        <v>70.099999999999994</v>
      </c>
      <c r="U555" s="18">
        <v>63.47</v>
      </c>
      <c r="V555" s="14">
        <v>1</v>
      </c>
    </row>
    <row r="556" spans="1:22" x14ac:dyDescent="0.25">
      <c r="A556" s="12">
        <v>2025</v>
      </c>
      <c r="B556" s="3" t="s">
        <v>539</v>
      </c>
      <c r="C556" s="14" t="s">
        <v>118</v>
      </c>
      <c r="D556" s="14" t="s">
        <v>119</v>
      </c>
      <c r="E556" s="14" t="s">
        <v>120</v>
      </c>
      <c r="F556" s="15" t="s">
        <v>590</v>
      </c>
      <c r="G556" s="15">
        <v>802</v>
      </c>
      <c r="H556" s="14">
        <v>2</v>
      </c>
      <c r="I556" s="14">
        <v>8</v>
      </c>
      <c r="J556" s="14">
        <v>1</v>
      </c>
      <c r="K556" s="14">
        <v>20</v>
      </c>
      <c r="L556" s="17" t="s">
        <v>42</v>
      </c>
      <c r="M556" s="17" t="s">
        <v>603</v>
      </c>
      <c r="N556" s="18">
        <v>6.67</v>
      </c>
      <c r="O556" s="18">
        <v>15.2</v>
      </c>
      <c r="P556" s="18">
        <v>41.8</v>
      </c>
      <c r="Q556" s="27">
        <f t="shared" si="31"/>
        <v>6.4274545454545455</v>
      </c>
      <c r="R556" s="18">
        <v>4208.8999999999996</v>
      </c>
      <c r="S556" s="19">
        <f t="shared" si="32"/>
        <v>3754.5941123996427</v>
      </c>
      <c r="T556" s="18">
        <v>72.34</v>
      </c>
      <c r="U556" s="18">
        <v>58.99</v>
      </c>
      <c r="V556" s="14">
        <v>1</v>
      </c>
    </row>
    <row r="557" spans="1:22" x14ac:dyDescent="0.25">
      <c r="A557" s="12">
        <v>2025</v>
      </c>
      <c r="B557" s="3" t="s">
        <v>539</v>
      </c>
      <c r="C557" s="14" t="s">
        <v>118</v>
      </c>
      <c r="D557" s="14" t="s">
        <v>119</v>
      </c>
      <c r="E557" s="14" t="s">
        <v>120</v>
      </c>
      <c r="F557" s="15" t="s">
        <v>591</v>
      </c>
      <c r="G557" s="15">
        <v>803</v>
      </c>
      <c r="H557" s="14">
        <v>3</v>
      </c>
      <c r="I557" s="14">
        <v>8</v>
      </c>
      <c r="J557" s="14">
        <v>2</v>
      </c>
      <c r="K557" s="14">
        <v>12</v>
      </c>
      <c r="L557" s="17" t="s">
        <v>69</v>
      </c>
      <c r="M557" s="17" t="s">
        <v>603</v>
      </c>
      <c r="N557" s="18">
        <v>8.01</v>
      </c>
      <c r="O557" s="18">
        <v>16</v>
      </c>
      <c r="P557" s="18">
        <v>41.9</v>
      </c>
      <c r="Q557" s="27">
        <f t="shared" si="31"/>
        <v>7.6459090909090905</v>
      </c>
      <c r="R557" s="18">
        <v>5006.78</v>
      </c>
      <c r="S557" s="19">
        <f t="shared" si="32"/>
        <v>4466.3514719000887</v>
      </c>
      <c r="T557" s="18">
        <v>70.91</v>
      </c>
      <c r="U557" s="18">
        <v>54.67</v>
      </c>
      <c r="V557" s="14">
        <v>1</v>
      </c>
    </row>
    <row r="558" spans="1:22" x14ac:dyDescent="0.25">
      <c r="A558" s="12">
        <v>2025</v>
      </c>
      <c r="B558" s="3" t="s">
        <v>539</v>
      </c>
      <c r="C558" s="14" t="s">
        <v>118</v>
      </c>
      <c r="D558" s="14" t="s">
        <v>119</v>
      </c>
      <c r="E558" s="14" t="s">
        <v>120</v>
      </c>
      <c r="F558" s="15" t="s">
        <v>592</v>
      </c>
      <c r="G558" s="15">
        <v>804</v>
      </c>
      <c r="H558" s="14">
        <v>4</v>
      </c>
      <c r="I558" s="14">
        <v>8</v>
      </c>
      <c r="J558" s="14">
        <v>2</v>
      </c>
      <c r="K558" s="14">
        <v>9</v>
      </c>
      <c r="L558" s="17" t="s">
        <v>69</v>
      </c>
      <c r="M558" s="6" t="s">
        <v>658</v>
      </c>
      <c r="N558" s="18">
        <v>8.2899999999999991</v>
      </c>
      <c r="O558" s="18">
        <v>15.7</v>
      </c>
      <c r="P558" s="18">
        <v>42</v>
      </c>
      <c r="Q558" s="27">
        <f t="shared" si="31"/>
        <v>7.9414431818181805</v>
      </c>
      <c r="R558" s="18">
        <v>5200.3100000000004</v>
      </c>
      <c r="S558" s="19">
        <f t="shared" si="32"/>
        <v>4638.9919714540592</v>
      </c>
      <c r="T558" s="18">
        <v>69.22</v>
      </c>
      <c r="U558" s="18">
        <v>49.32</v>
      </c>
      <c r="V558" s="14">
        <v>1</v>
      </c>
    </row>
    <row r="559" spans="1:22" x14ac:dyDescent="0.25">
      <c r="A559" s="12">
        <v>2025</v>
      </c>
      <c r="B559" s="3" t="s">
        <v>539</v>
      </c>
      <c r="C559" s="14" t="s">
        <v>118</v>
      </c>
      <c r="D559" s="14" t="s">
        <v>119</v>
      </c>
      <c r="E559" s="14" t="s">
        <v>120</v>
      </c>
      <c r="F559" s="15" t="s">
        <v>593</v>
      </c>
      <c r="G559" s="15">
        <v>805</v>
      </c>
      <c r="H559" s="14">
        <v>5</v>
      </c>
      <c r="I559" s="14">
        <v>8</v>
      </c>
      <c r="J559" s="14">
        <v>3</v>
      </c>
      <c r="K559" s="14">
        <v>14</v>
      </c>
      <c r="L559" s="17" t="s">
        <v>336</v>
      </c>
      <c r="M559" s="17" t="s">
        <v>30</v>
      </c>
      <c r="N559" s="18">
        <v>10.44</v>
      </c>
      <c r="O559" s="18">
        <v>15.1</v>
      </c>
      <c r="P559" s="18">
        <v>42.3</v>
      </c>
      <c r="Q559" s="27">
        <f t="shared" si="31"/>
        <v>10.072227272727272</v>
      </c>
      <c r="R559" s="18">
        <v>6595.61</v>
      </c>
      <c r="S559" s="19">
        <f t="shared" si="32"/>
        <v>5883.6842105263158</v>
      </c>
      <c r="T559" s="18">
        <v>70.94</v>
      </c>
      <c r="U559" s="18">
        <v>48.06</v>
      </c>
      <c r="V559" s="14">
        <v>0</v>
      </c>
    </row>
    <row r="560" spans="1:22" x14ac:dyDescent="0.25">
      <c r="A560" s="12">
        <v>2025</v>
      </c>
      <c r="B560" s="3" t="s">
        <v>539</v>
      </c>
      <c r="C560" s="14" t="s">
        <v>118</v>
      </c>
      <c r="D560" s="14" t="s">
        <v>119</v>
      </c>
      <c r="E560" s="14" t="s">
        <v>120</v>
      </c>
      <c r="F560" s="15" t="s">
        <v>594</v>
      </c>
      <c r="G560" s="15">
        <v>806</v>
      </c>
      <c r="H560" s="14">
        <v>6</v>
      </c>
      <c r="I560" s="14">
        <v>8</v>
      </c>
      <c r="J560" s="14">
        <v>3</v>
      </c>
      <c r="K560" s="14">
        <v>1</v>
      </c>
      <c r="L560" s="17" t="s">
        <v>100</v>
      </c>
      <c r="M560" s="6" t="s">
        <v>658</v>
      </c>
      <c r="N560" s="18">
        <v>6.88</v>
      </c>
      <c r="O560" s="18">
        <v>14.4</v>
      </c>
      <c r="P560" s="18">
        <v>42.3</v>
      </c>
      <c r="Q560" s="27">
        <f t="shared" si="31"/>
        <v>6.6923636363636358</v>
      </c>
      <c r="R560" s="18">
        <v>4382.37</v>
      </c>
      <c r="S560" s="19">
        <f t="shared" si="32"/>
        <v>3909.3398751115074</v>
      </c>
      <c r="T560" s="18">
        <v>65.56</v>
      </c>
      <c r="U560" s="18">
        <v>31.81</v>
      </c>
      <c r="V560" s="14">
        <v>1</v>
      </c>
    </row>
    <row r="561" spans="1:22" x14ac:dyDescent="0.25">
      <c r="A561" s="12">
        <v>2025</v>
      </c>
      <c r="B561" s="3" t="s">
        <v>539</v>
      </c>
      <c r="C561" s="14" t="s">
        <v>118</v>
      </c>
      <c r="D561" s="14" t="s">
        <v>119</v>
      </c>
      <c r="E561" s="14" t="s">
        <v>120</v>
      </c>
      <c r="F561" s="15" t="s">
        <v>595</v>
      </c>
      <c r="G561" s="15">
        <v>807</v>
      </c>
      <c r="H561" s="14">
        <v>7</v>
      </c>
      <c r="I561" s="14">
        <v>8</v>
      </c>
      <c r="J561" s="14" t="s">
        <v>268</v>
      </c>
      <c r="K561" s="14" t="s">
        <v>268</v>
      </c>
      <c r="L561" s="17" t="s">
        <v>269</v>
      </c>
      <c r="M561" s="17"/>
      <c r="N561" s="18">
        <v>3.37</v>
      </c>
      <c r="O561" s="18">
        <v>16.7</v>
      </c>
      <c r="P561" s="18">
        <v>41.2</v>
      </c>
      <c r="Q561" s="27">
        <f t="shared" si="31"/>
        <v>3.1900113636363634</v>
      </c>
      <c r="R561" s="18">
        <v>2088.92</v>
      </c>
      <c r="S561" s="19">
        <f t="shared" si="32"/>
        <v>1863.4433541480821</v>
      </c>
      <c r="T561" s="18">
        <v>70.02</v>
      </c>
      <c r="U561" s="18">
        <v>51.14</v>
      </c>
      <c r="V561" s="14"/>
    </row>
    <row r="562" spans="1:22" x14ac:dyDescent="0.25">
      <c r="A562" s="12">
        <v>2025</v>
      </c>
      <c r="B562" s="3" t="s">
        <v>539</v>
      </c>
      <c r="C562" s="14" t="s">
        <v>118</v>
      </c>
      <c r="D562" s="14" t="s">
        <v>119</v>
      </c>
      <c r="E562" s="14" t="s">
        <v>120</v>
      </c>
      <c r="F562" s="15" t="s">
        <v>596</v>
      </c>
      <c r="G562" s="15">
        <v>901</v>
      </c>
      <c r="H562" s="14">
        <v>1</v>
      </c>
      <c r="I562" s="14">
        <v>9</v>
      </c>
      <c r="J562" s="14">
        <v>1</v>
      </c>
      <c r="K562" s="14">
        <v>18</v>
      </c>
      <c r="L562" s="17" t="s">
        <v>42</v>
      </c>
      <c r="M562" s="17" t="s">
        <v>30</v>
      </c>
      <c r="N562" s="18">
        <v>6.75</v>
      </c>
      <c r="O562" s="18">
        <v>15.2</v>
      </c>
      <c r="P562" s="18">
        <v>41.9</v>
      </c>
      <c r="Q562" s="27">
        <f t="shared" si="31"/>
        <v>6.5045454545454549</v>
      </c>
      <c r="R562" s="18">
        <v>4259.38</v>
      </c>
      <c r="S562" s="19">
        <f t="shared" si="32"/>
        <v>3799.6253345227478</v>
      </c>
      <c r="T562" s="18">
        <v>72.63</v>
      </c>
      <c r="U562" s="18">
        <v>61.1</v>
      </c>
      <c r="V562" s="14">
        <v>1</v>
      </c>
    </row>
    <row r="563" spans="1:22" x14ac:dyDescent="0.25">
      <c r="A563" s="12">
        <v>2025</v>
      </c>
      <c r="B563" s="3" t="s">
        <v>539</v>
      </c>
      <c r="C563" s="14" t="s">
        <v>118</v>
      </c>
      <c r="D563" s="14" t="s">
        <v>119</v>
      </c>
      <c r="E563" s="14" t="s">
        <v>120</v>
      </c>
      <c r="F563" s="15" t="s">
        <v>597</v>
      </c>
      <c r="G563" s="15">
        <v>902</v>
      </c>
      <c r="H563" s="14">
        <v>2</v>
      </c>
      <c r="I563" s="14">
        <v>9</v>
      </c>
      <c r="J563" s="14">
        <v>1</v>
      </c>
      <c r="K563" s="14">
        <v>3</v>
      </c>
      <c r="L563" s="17" t="s">
        <v>100</v>
      </c>
      <c r="M563" s="17" t="s">
        <v>53</v>
      </c>
      <c r="N563" s="18">
        <v>6.47</v>
      </c>
      <c r="O563" s="18">
        <v>16.600000000000001</v>
      </c>
      <c r="P563" s="18">
        <v>41</v>
      </c>
      <c r="Q563" s="27">
        <f t="shared" si="31"/>
        <v>6.131795454545454</v>
      </c>
      <c r="R563" s="18">
        <v>4015.29</v>
      </c>
      <c r="S563" s="19">
        <f t="shared" si="32"/>
        <v>3581.8822479928635</v>
      </c>
      <c r="T563" s="18">
        <v>65.89</v>
      </c>
      <c r="U563" s="18">
        <v>41.21</v>
      </c>
      <c r="V563" s="14">
        <v>1</v>
      </c>
    </row>
    <row r="564" spans="1:22" x14ac:dyDescent="0.25">
      <c r="A564" s="12">
        <v>2025</v>
      </c>
      <c r="B564" s="3" t="s">
        <v>539</v>
      </c>
      <c r="C564" s="14" t="s">
        <v>118</v>
      </c>
      <c r="D564" s="14" t="s">
        <v>119</v>
      </c>
      <c r="E564" s="14" t="s">
        <v>120</v>
      </c>
      <c r="F564" s="15" t="s">
        <v>598</v>
      </c>
      <c r="G564" s="15">
        <v>903</v>
      </c>
      <c r="H564" s="14">
        <v>3</v>
      </c>
      <c r="I564" s="14">
        <v>9</v>
      </c>
      <c r="J564" s="14">
        <v>2</v>
      </c>
      <c r="K564" s="14">
        <v>2</v>
      </c>
      <c r="L564" s="17" t="s">
        <v>100</v>
      </c>
      <c r="M564" s="17" t="s">
        <v>30</v>
      </c>
      <c r="N564" s="18">
        <v>7.4</v>
      </c>
      <c r="O564" s="18">
        <v>17.3</v>
      </c>
      <c r="P564" s="18">
        <v>40.9</v>
      </c>
      <c r="Q564" s="27">
        <f t="shared" si="31"/>
        <v>6.9543181818181816</v>
      </c>
      <c r="R564" s="18">
        <v>4553.91</v>
      </c>
      <c r="S564" s="19">
        <f t="shared" si="32"/>
        <v>4062.363960749331</v>
      </c>
      <c r="T564" s="18">
        <v>66.88</v>
      </c>
      <c r="U564" s="18">
        <v>41.94</v>
      </c>
      <c r="V564" s="14">
        <v>0</v>
      </c>
    </row>
    <row r="565" spans="1:22" x14ac:dyDescent="0.25">
      <c r="A565" s="12">
        <v>2025</v>
      </c>
      <c r="B565" s="3" t="s">
        <v>539</v>
      </c>
      <c r="C565" s="14" t="s">
        <v>118</v>
      </c>
      <c r="D565" s="14" t="s">
        <v>119</v>
      </c>
      <c r="E565" s="14" t="s">
        <v>120</v>
      </c>
      <c r="F565" s="15" t="s">
        <v>599</v>
      </c>
      <c r="G565" s="15">
        <v>904</v>
      </c>
      <c r="H565" s="14">
        <v>4</v>
      </c>
      <c r="I565" s="14">
        <v>9</v>
      </c>
      <c r="J565" s="14">
        <v>2</v>
      </c>
      <c r="K565" s="14">
        <v>4</v>
      </c>
      <c r="L565" s="17" t="s">
        <v>100</v>
      </c>
      <c r="M565" s="17" t="s">
        <v>603</v>
      </c>
      <c r="N565" s="18">
        <v>7.36</v>
      </c>
      <c r="O565" s="18">
        <v>15.5</v>
      </c>
      <c r="P565" s="18">
        <v>41.7</v>
      </c>
      <c r="Q565" s="27">
        <f t="shared" si="31"/>
        <v>7.0672727272727274</v>
      </c>
      <c r="R565" s="18">
        <v>4627.87</v>
      </c>
      <c r="S565" s="19">
        <f t="shared" si="32"/>
        <v>4128.3407671721679</v>
      </c>
      <c r="T565" s="18">
        <v>65.38</v>
      </c>
      <c r="U565" s="18">
        <v>37.119999999999997</v>
      </c>
      <c r="V565" s="14">
        <v>2</v>
      </c>
    </row>
    <row r="566" spans="1:22" x14ac:dyDescent="0.25">
      <c r="A566" s="12">
        <v>2025</v>
      </c>
      <c r="B566" s="3" t="s">
        <v>539</v>
      </c>
      <c r="C566" s="14" t="s">
        <v>118</v>
      </c>
      <c r="D566" s="14" t="s">
        <v>119</v>
      </c>
      <c r="E566" s="14" t="s">
        <v>120</v>
      </c>
      <c r="F566" s="15" t="s">
        <v>600</v>
      </c>
      <c r="G566" s="15">
        <v>905</v>
      </c>
      <c r="H566" s="14">
        <v>5</v>
      </c>
      <c r="I566" s="14">
        <v>9</v>
      </c>
      <c r="J566" s="14">
        <v>3</v>
      </c>
      <c r="K566" s="14">
        <v>9</v>
      </c>
      <c r="L566" s="17" t="s">
        <v>69</v>
      </c>
      <c r="M566" s="6" t="s">
        <v>658</v>
      </c>
      <c r="N566" s="18">
        <v>8.41</v>
      </c>
      <c r="O566" s="18">
        <v>15.2</v>
      </c>
      <c r="P566" s="18">
        <v>42.4</v>
      </c>
      <c r="Q566" s="27">
        <f t="shared" si="31"/>
        <v>8.1041818181818179</v>
      </c>
      <c r="R566" s="18">
        <v>5306.87</v>
      </c>
      <c r="S566" s="19">
        <f t="shared" si="32"/>
        <v>4734.0499553969667</v>
      </c>
      <c r="T566" s="18">
        <v>69.569999999999993</v>
      </c>
      <c r="U566" s="18">
        <v>50.86</v>
      </c>
      <c r="V566" s="14">
        <v>0</v>
      </c>
    </row>
    <row r="567" spans="1:22" x14ac:dyDescent="0.25">
      <c r="A567" s="12">
        <v>2025</v>
      </c>
      <c r="B567" s="3" t="s">
        <v>539</v>
      </c>
      <c r="C567" s="14" t="s">
        <v>118</v>
      </c>
      <c r="D567" s="14" t="s">
        <v>119</v>
      </c>
      <c r="E567" s="14" t="s">
        <v>120</v>
      </c>
      <c r="F567" s="15" t="s">
        <v>601</v>
      </c>
      <c r="G567" s="15">
        <v>906</v>
      </c>
      <c r="H567" s="14">
        <v>6</v>
      </c>
      <c r="I567" s="14">
        <v>9</v>
      </c>
      <c r="J567" s="14">
        <v>3</v>
      </c>
      <c r="K567" s="14">
        <v>15</v>
      </c>
      <c r="L567" s="17" t="s">
        <v>336</v>
      </c>
      <c r="M567" s="17" t="s">
        <v>53</v>
      </c>
      <c r="N567" s="18">
        <v>12.15</v>
      </c>
      <c r="O567" s="18">
        <v>15.8</v>
      </c>
      <c r="P567" s="18">
        <v>41.9</v>
      </c>
      <c r="Q567" s="27">
        <f t="shared" si="31"/>
        <v>11.625340909090909</v>
      </c>
      <c r="R567" s="18">
        <v>7612.64</v>
      </c>
      <c r="S567" s="19">
        <f t="shared" si="32"/>
        <v>6790.9366636931318</v>
      </c>
      <c r="T567" s="18">
        <v>70.23</v>
      </c>
      <c r="U567" s="18">
        <v>47.39</v>
      </c>
      <c r="V567" s="14">
        <v>1</v>
      </c>
    </row>
    <row r="568" spans="1:22" x14ac:dyDescent="0.25">
      <c r="A568" s="12">
        <v>2025</v>
      </c>
      <c r="B568" s="3" t="s">
        <v>539</v>
      </c>
      <c r="C568" s="14" t="s">
        <v>118</v>
      </c>
      <c r="D568" s="14" t="s">
        <v>119</v>
      </c>
      <c r="E568" s="14" t="s">
        <v>120</v>
      </c>
      <c r="F568" s="15" t="s">
        <v>602</v>
      </c>
      <c r="G568" s="15">
        <v>907</v>
      </c>
      <c r="H568" s="14">
        <v>7</v>
      </c>
      <c r="I568" s="14">
        <v>9</v>
      </c>
      <c r="J568" s="14" t="s">
        <v>268</v>
      </c>
      <c r="K568" s="14" t="s">
        <v>268</v>
      </c>
      <c r="L568" s="17" t="s">
        <v>269</v>
      </c>
      <c r="M568" s="17"/>
      <c r="N568" s="18">
        <v>3.28</v>
      </c>
      <c r="O568" s="18">
        <v>17</v>
      </c>
      <c r="P568" s="18">
        <v>41.2</v>
      </c>
      <c r="Q568" s="27">
        <f t="shared" si="31"/>
        <v>3.0936363636363629</v>
      </c>
      <c r="R568" s="18">
        <v>2025.81</v>
      </c>
      <c r="S568" s="19">
        <f t="shared" si="32"/>
        <v>1807.1454058876004</v>
      </c>
      <c r="T568" s="18">
        <v>70.28</v>
      </c>
      <c r="U568" s="18">
        <v>53.2</v>
      </c>
      <c r="V568" s="14"/>
    </row>
    <row r="569" spans="1:22" x14ac:dyDescent="0.25">
      <c r="A569" s="12">
        <v>2025</v>
      </c>
      <c r="B569" s="3" t="s">
        <v>605</v>
      </c>
      <c r="C569" s="14" t="s">
        <v>202</v>
      </c>
      <c r="D569" s="14" t="s">
        <v>203</v>
      </c>
      <c r="E569" s="14" t="s">
        <v>204</v>
      </c>
      <c r="F569" s="15" t="s">
        <v>606</v>
      </c>
      <c r="G569" s="15">
        <v>101</v>
      </c>
      <c r="H569" s="14">
        <v>1</v>
      </c>
      <c r="I569" s="14">
        <v>1</v>
      </c>
      <c r="J569" s="14">
        <v>1</v>
      </c>
      <c r="K569" s="14">
        <v>3</v>
      </c>
      <c r="L569" s="17" t="s">
        <v>100</v>
      </c>
      <c r="M569" s="17" t="s">
        <v>53</v>
      </c>
      <c r="N569" s="18">
        <v>8.39</v>
      </c>
      <c r="O569" s="18">
        <v>12.4</v>
      </c>
      <c r="P569" s="18">
        <v>38.5</v>
      </c>
      <c r="Q569" s="27">
        <f t="shared" si="31"/>
        <v>8.3518636363636372</v>
      </c>
      <c r="R569" s="18">
        <v>5469.06</v>
      </c>
      <c r="S569" s="19">
        <f t="shared" si="32"/>
        <v>4878.7332738626228</v>
      </c>
      <c r="T569" s="18">
        <v>70.319999999999993</v>
      </c>
      <c r="U569" s="18">
        <v>45.45</v>
      </c>
      <c r="V569" s="15">
        <v>3</v>
      </c>
    </row>
    <row r="570" spans="1:22" x14ac:dyDescent="0.25">
      <c r="A570" s="12">
        <v>2025</v>
      </c>
      <c r="B570" s="3" t="s">
        <v>605</v>
      </c>
      <c r="C570" s="14" t="s">
        <v>202</v>
      </c>
      <c r="D570" s="14" t="s">
        <v>203</v>
      </c>
      <c r="E570" s="14" t="s">
        <v>204</v>
      </c>
      <c r="F570" s="15" t="s">
        <v>607</v>
      </c>
      <c r="G570" s="15">
        <v>102</v>
      </c>
      <c r="H570" s="14">
        <v>2</v>
      </c>
      <c r="I570" s="14">
        <v>1</v>
      </c>
      <c r="J570" s="14">
        <v>1</v>
      </c>
      <c r="K570" s="14">
        <v>8</v>
      </c>
      <c r="L570" s="17" t="s">
        <v>336</v>
      </c>
      <c r="M570" s="17" t="s">
        <v>603</v>
      </c>
      <c r="N570" s="18">
        <v>7.88</v>
      </c>
      <c r="O570" s="18">
        <v>11.3</v>
      </c>
      <c r="P570" s="18">
        <v>34.5</v>
      </c>
      <c r="Q570" s="27">
        <f t="shared" si="31"/>
        <v>7.9426818181818177</v>
      </c>
      <c r="R570" s="18">
        <v>5201.12</v>
      </c>
      <c r="S570" s="19">
        <f t="shared" si="32"/>
        <v>4639.7145405887595</v>
      </c>
      <c r="T570" s="18">
        <v>69.819999999999993</v>
      </c>
      <c r="U570" s="18">
        <v>45.1</v>
      </c>
      <c r="V570" s="15">
        <v>3</v>
      </c>
    </row>
    <row r="571" spans="1:22" x14ac:dyDescent="0.25">
      <c r="A571" s="12">
        <v>2025</v>
      </c>
      <c r="B571" s="3" t="s">
        <v>605</v>
      </c>
      <c r="C571" s="14" t="s">
        <v>202</v>
      </c>
      <c r="D571" s="14" t="s">
        <v>203</v>
      </c>
      <c r="E571" s="14" t="s">
        <v>204</v>
      </c>
      <c r="F571" s="15" t="s">
        <v>608</v>
      </c>
      <c r="G571" s="15">
        <v>103</v>
      </c>
      <c r="H571" s="14">
        <v>3</v>
      </c>
      <c r="I571" s="14">
        <v>1</v>
      </c>
      <c r="J571" s="14">
        <v>2</v>
      </c>
      <c r="K571" s="14">
        <v>6</v>
      </c>
      <c r="L571" s="17" t="s">
        <v>336</v>
      </c>
      <c r="M571" s="17" t="s">
        <v>30</v>
      </c>
      <c r="N571" s="18">
        <v>6.91</v>
      </c>
      <c r="O571" s="18">
        <v>11</v>
      </c>
      <c r="P571" s="18">
        <v>29.8</v>
      </c>
      <c r="Q571" s="27">
        <f t="shared" ref="Q571:Q616" si="33">N571*(1-O571/100)/(1-0.12)</f>
        <v>6.9885227272727279</v>
      </c>
      <c r="R571" s="18">
        <v>4576.3</v>
      </c>
      <c r="S571" s="19">
        <f t="shared" ref="S571:S616" si="34">R571/1.121</f>
        <v>4082.3371989295274</v>
      </c>
      <c r="T571" s="18">
        <v>69.209999999999994</v>
      </c>
      <c r="U571" s="18">
        <v>42.51</v>
      </c>
      <c r="V571" s="15">
        <v>1</v>
      </c>
    </row>
    <row r="572" spans="1:22" x14ac:dyDescent="0.25">
      <c r="A572" s="12">
        <v>2025</v>
      </c>
      <c r="B572" s="3" t="s">
        <v>605</v>
      </c>
      <c r="C572" s="14" t="s">
        <v>202</v>
      </c>
      <c r="D572" s="14" t="s">
        <v>203</v>
      </c>
      <c r="E572" s="14" t="s">
        <v>204</v>
      </c>
      <c r="F572" s="15" t="s">
        <v>609</v>
      </c>
      <c r="G572" s="15">
        <v>104</v>
      </c>
      <c r="H572" s="14">
        <v>4</v>
      </c>
      <c r="I572" s="14">
        <v>1</v>
      </c>
      <c r="J572" s="14">
        <v>3</v>
      </c>
      <c r="K572" s="14">
        <v>7</v>
      </c>
      <c r="L572" s="17" t="s">
        <v>336</v>
      </c>
      <c r="M572" s="17" t="s">
        <v>53</v>
      </c>
      <c r="N572" s="18">
        <v>6.49</v>
      </c>
      <c r="O572" s="18">
        <v>11.8</v>
      </c>
      <c r="P572" s="18">
        <v>34.6</v>
      </c>
      <c r="Q572" s="27">
        <f t="shared" si="33"/>
        <v>6.5047500000000005</v>
      </c>
      <c r="R572" s="18">
        <v>4259.51</v>
      </c>
      <c r="S572" s="19">
        <f t="shared" si="34"/>
        <v>3799.741302408564</v>
      </c>
      <c r="T572" s="18">
        <v>69.27</v>
      </c>
      <c r="U572" s="18">
        <v>43.63</v>
      </c>
      <c r="V572" s="15">
        <v>2</v>
      </c>
    </row>
    <row r="573" spans="1:22" x14ac:dyDescent="0.25">
      <c r="A573" s="12">
        <v>2025</v>
      </c>
      <c r="B573" s="3" t="s">
        <v>605</v>
      </c>
      <c r="C573" s="14" t="s">
        <v>202</v>
      </c>
      <c r="D573" s="14" t="s">
        <v>203</v>
      </c>
      <c r="E573" s="14" t="s">
        <v>204</v>
      </c>
      <c r="F573" s="15" t="s">
        <v>610</v>
      </c>
      <c r="G573" s="15">
        <v>201</v>
      </c>
      <c r="H573" s="14">
        <v>1</v>
      </c>
      <c r="I573" s="14">
        <v>2</v>
      </c>
      <c r="J573" s="14">
        <v>1</v>
      </c>
      <c r="K573" s="14">
        <v>4</v>
      </c>
      <c r="L573" s="17" t="s">
        <v>100</v>
      </c>
      <c r="M573" s="17" t="s">
        <v>603</v>
      </c>
      <c r="N573" s="18">
        <v>8.92</v>
      </c>
      <c r="O573" s="18">
        <v>13</v>
      </c>
      <c r="P573" s="18">
        <v>41.6</v>
      </c>
      <c r="Q573" s="27">
        <f t="shared" si="33"/>
        <v>8.8186363636363634</v>
      </c>
      <c r="R573" s="18">
        <v>5774.72</v>
      </c>
      <c r="S573" s="19">
        <f t="shared" si="34"/>
        <v>5151.4005352363965</v>
      </c>
      <c r="T573" s="18">
        <v>71.66</v>
      </c>
      <c r="U573" s="18">
        <v>45.15</v>
      </c>
      <c r="V573" s="15">
        <v>3</v>
      </c>
    </row>
    <row r="574" spans="1:22" x14ac:dyDescent="0.25">
      <c r="A574" s="12">
        <v>2025</v>
      </c>
      <c r="B574" s="3" t="s">
        <v>605</v>
      </c>
      <c r="C574" s="14" t="s">
        <v>202</v>
      </c>
      <c r="D574" s="14" t="s">
        <v>203</v>
      </c>
      <c r="E574" s="14" t="s">
        <v>204</v>
      </c>
      <c r="F574" s="15" t="s">
        <v>611</v>
      </c>
      <c r="G574" s="15">
        <v>202</v>
      </c>
      <c r="H574" s="14">
        <v>2</v>
      </c>
      <c r="I574" s="14">
        <v>2</v>
      </c>
      <c r="J574" s="14">
        <v>1</v>
      </c>
      <c r="K574" s="14">
        <v>5</v>
      </c>
      <c r="L574" s="17" t="s">
        <v>336</v>
      </c>
      <c r="M574" s="6" t="s">
        <v>658</v>
      </c>
      <c r="N574" s="18">
        <v>7.61</v>
      </c>
      <c r="O574" s="18">
        <v>11.5</v>
      </c>
      <c r="P574" s="18">
        <v>35.5</v>
      </c>
      <c r="Q574" s="27">
        <f t="shared" si="33"/>
        <v>7.6532386363636373</v>
      </c>
      <c r="R574" s="18">
        <v>5011.58</v>
      </c>
      <c r="S574" s="19">
        <f t="shared" si="34"/>
        <v>4470.6333630686886</v>
      </c>
      <c r="T574" s="18">
        <v>69.98</v>
      </c>
      <c r="U574" s="18">
        <v>41.12</v>
      </c>
      <c r="V574" s="15">
        <v>4</v>
      </c>
    </row>
    <row r="575" spans="1:22" x14ac:dyDescent="0.25">
      <c r="A575" s="12">
        <v>2025</v>
      </c>
      <c r="B575" s="3" t="s">
        <v>605</v>
      </c>
      <c r="C575" s="14" t="s">
        <v>202</v>
      </c>
      <c r="D575" s="14" t="s">
        <v>203</v>
      </c>
      <c r="E575" s="14" t="s">
        <v>204</v>
      </c>
      <c r="F575" s="15" t="s">
        <v>612</v>
      </c>
      <c r="G575" s="15">
        <v>203</v>
      </c>
      <c r="H575" s="14">
        <v>3</v>
      </c>
      <c r="I575" s="14">
        <v>2</v>
      </c>
      <c r="J575" s="14">
        <v>2</v>
      </c>
      <c r="K575" s="14">
        <v>1</v>
      </c>
      <c r="L575" s="17" t="s">
        <v>100</v>
      </c>
      <c r="M575" s="6" t="s">
        <v>658</v>
      </c>
      <c r="N575" s="18">
        <v>8.82</v>
      </c>
      <c r="O575" s="18">
        <v>12.5</v>
      </c>
      <c r="P575" s="18">
        <v>40.9</v>
      </c>
      <c r="Q575" s="27">
        <f t="shared" si="33"/>
        <v>8.7698863636363633</v>
      </c>
      <c r="R575" s="18">
        <v>5742.8</v>
      </c>
      <c r="S575" s="19">
        <f t="shared" si="34"/>
        <v>5122.9259589652102</v>
      </c>
      <c r="T575" s="18">
        <v>71.91</v>
      </c>
      <c r="U575" s="18">
        <v>42.53</v>
      </c>
      <c r="V575" s="15">
        <v>1</v>
      </c>
    </row>
    <row r="576" spans="1:22" x14ac:dyDescent="0.25">
      <c r="A576" s="12">
        <v>2025</v>
      </c>
      <c r="B576" s="3" t="s">
        <v>605</v>
      </c>
      <c r="C576" s="14" t="s">
        <v>202</v>
      </c>
      <c r="D576" s="14" t="s">
        <v>203</v>
      </c>
      <c r="E576" s="14" t="s">
        <v>204</v>
      </c>
      <c r="F576" s="15" t="s">
        <v>613</v>
      </c>
      <c r="G576" s="15">
        <v>204</v>
      </c>
      <c r="H576" s="14">
        <v>4</v>
      </c>
      <c r="I576" s="14">
        <v>2</v>
      </c>
      <c r="J576" s="14">
        <v>3</v>
      </c>
      <c r="K576" s="14">
        <v>1</v>
      </c>
      <c r="L576" s="17" t="s">
        <v>100</v>
      </c>
      <c r="M576" s="6" t="s">
        <v>658</v>
      </c>
      <c r="N576" s="18">
        <v>8.9499999999999993</v>
      </c>
      <c r="O576" s="18">
        <v>13</v>
      </c>
      <c r="P576" s="18">
        <v>40.700000000000003</v>
      </c>
      <c r="Q576" s="27">
        <f t="shared" si="33"/>
        <v>8.848295454545454</v>
      </c>
      <c r="R576" s="18">
        <v>5794.14</v>
      </c>
      <c r="S576" s="19">
        <f t="shared" si="34"/>
        <v>5168.7243532560215</v>
      </c>
      <c r="T576" s="18">
        <v>71.09</v>
      </c>
      <c r="U576" s="18">
        <v>42.18</v>
      </c>
      <c r="V576" s="15">
        <v>2</v>
      </c>
    </row>
    <row r="577" spans="1:22" x14ac:dyDescent="0.25">
      <c r="A577" s="12">
        <v>2025</v>
      </c>
      <c r="B577" s="3" t="s">
        <v>605</v>
      </c>
      <c r="C577" s="14" t="s">
        <v>202</v>
      </c>
      <c r="D577" s="14" t="s">
        <v>203</v>
      </c>
      <c r="E577" s="14" t="s">
        <v>204</v>
      </c>
      <c r="F577" s="15" t="s">
        <v>614</v>
      </c>
      <c r="G577" s="15">
        <v>301</v>
      </c>
      <c r="H577" s="14">
        <v>1</v>
      </c>
      <c r="I577" s="14">
        <v>3</v>
      </c>
      <c r="J577" s="14">
        <v>1</v>
      </c>
      <c r="K577" s="14">
        <v>2</v>
      </c>
      <c r="L577" s="17" t="s">
        <v>100</v>
      </c>
      <c r="M577" s="17" t="s">
        <v>30</v>
      </c>
      <c r="N577" s="18">
        <v>9.1300000000000008</v>
      </c>
      <c r="O577" s="18">
        <v>13</v>
      </c>
      <c r="P577" s="18">
        <v>41.1</v>
      </c>
      <c r="Q577" s="27">
        <f t="shared" si="33"/>
        <v>9.026250000000001</v>
      </c>
      <c r="R577" s="18">
        <v>5910.67</v>
      </c>
      <c r="S577" s="19">
        <f t="shared" si="34"/>
        <v>5272.6761819803751</v>
      </c>
      <c r="T577" s="18">
        <v>70.67</v>
      </c>
      <c r="U577" s="18">
        <v>43.31</v>
      </c>
      <c r="V577" s="15">
        <v>2</v>
      </c>
    </row>
    <row r="578" spans="1:22" x14ac:dyDescent="0.25">
      <c r="A578" s="12">
        <v>2025</v>
      </c>
      <c r="B578" s="3" t="s">
        <v>605</v>
      </c>
      <c r="C578" s="14" t="s">
        <v>202</v>
      </c>
      <c r="D578" s="14" t="s">
        <v>203</v>
      </c>
      <c r="E578" s="14" t="s">
        <v>204</v>
      </c>
      <c r="F578" s="15" t="s">
        <v>615</v>
      </c>
      <c r="G578" s="15">
        <v>302</v>
      </c>
      <c r="H578" s="14">
        <v>2</v>
      </c>
      <c r="I578" s="14">
        <v>3</v>
      </c>
      <c r="J578" s="14">
        <v>2</v>
      </c>
      <c r="K578" s="14">
        <v>8</v>
      </c>
      <c r="L578" s="17" t="s">
        <v>336</v>
      </c>
      <c r="M578" s="17" t="s">
        <v>603</v>
      </c>
      <c r="N578" s="18">
        <v>7.87</v>
      </c>
      <c r="O578" s="18">
        <v>11.9</v>
      </c>
      <c r="P578" s="18">
        <v>36.200000000000003</v>
      </c>
      <c r="Q578" s="27">
        <f t="shared" si="33"/>
        <v>7.8789431818181814</v>
      </c>
      <c r="R578" s="18">
        <v>5159.38</v>
      </c>
      <c r="S578" s="19">
        <f t="shared" si="34"/>
        <v>4602.4799286351472</v>
      </c>
      <c r="T578" s="18">
        <v>70.44</v>
      </c>
      <c r="U578" s="18">
        <v>45.36</v>
      </c>
      <c r="V578" s="15">
        <v>3</v>
      </c>
    </row>
    <row r="579" spans="1:22" x14ac:dyDescent="0.25">
      <c r="A579" s="12">
        <v>2025</v>
      </c>
      <c r="B579" s="3" t="s">
        <v>605</v>
      </c>
      <c r="C579" s="14" t="s">
        <v>202</v>
      </c>
      <c r="D579" s="14" t="s">
        <v>203</v>
      </c>
      <c r="E579" s="14" t="s">
        <v>204</v>
      </c>
      <c r="F579" s="15" t="s">
        <v>616</v>
      </c>
      <c r="G579" s="15">
        <v>303</v>
      </c>
      <c r="H579" s="14">
        <v>3</v>
      </c>
      <c r="I579" s="14">
        <v>3</v>
      </c>
      <c r="J579" s="14">
        <v>2</v>
      </c>
      <c r="K579" s="14">
        <v>4</v>
      </c>
      <c r="L579" s="17" t="s">
        <v>100</v>
      </c>
      <c r="M579" s="17" t="s">
        <v>603</v>
      </c>
      <c r="N579" s="18">
        <v>9.1999999999999993</v>
      </c>
      <c r="O579" s="18">
        <v>13.4</v>
      </c>
      <c r="P579" s="18">
        <v>41.9</v>
      </c>
      <c r="Q579" s="27">
        <f t="shared" si="33"/>
        <v>9.0536363636363628</v>
      </c>
      <c r="R579" s="18">
        <v>5928.6</v>
      </c>
      <c r="S579" s="19">
        <f t="shared" si="34"/>
        <v>5288.6708296164143</v>
      </c>
      <c r="T579" s="18">
        <v>72.099999999999994</v>
      </c>
      <c r="U579" s="18">
        <v>45.25</v>
      </c>
      <c r="V579" s="15">
        <v>5</v>
      </c>
    </row>
    <row r="580" spans="1:22" x14ac:dyDescent="0.25">
      <c r="A580" s="12">
        <v>2025</v>
      </c>
      <c r="B580" s="3" t="s">
        <v>605</v>
      </c>
      <c r="C580" s="14" t="s">
        <v>202</v>
      </c>
      <c r="D580" s="14" t="s">
        <v>203</v>
      </c>
      <c r="E580" s="14" t="s">
        <v>204</v>
      </c>
      <c r="F580" s="15" t="s">
        <v>617</v>
      </c>
      <c r="G580" s="15">
        <v>304</v>
      </c>
      <c r="H580" s="14">
        <v>4</v>
      </c>
      <c r="I580" s="14">
        <v>3</v>
      </c>
      <c r="J580" s="14">
        <v>3</v>
      </c>
      <c r="K580" s="14">
        <v>4</v>
      </c>
      <c r="L580" s="17" t="s">
        <v>100</v>
      </c>
      <c r="M580" s="17" t="s">
        <v>603</v>
      </c>
      <c r="N580" s="18">
        <v>10.17</v>
      </c>
      <c r="O580" s="18">
        <v>12.8</v>
      </c>
      <c r="P580" s="18">
        <v>41.8</v>
      </c>
      <c r="Q580" s="27">
        <f t="shared" si="33"/>
        <v>10.077545454545454</v>
      </c>
      <c r="R580" s="18">
        <v>6599.09</v>
      </c>
      <c r="S580" s="19">
        <f t="shared" si="34"/>
        <v>5886.7885816235503</v>
      </c>
      <c r="T580" s="18">
        <v>72.34</v>
      </c>
      <c r="U580" s="18">
        <v>45.34</v>
      </c>
      <c r="V580" s="15">
        <v>2</v>
      </c>
    </row>
    <row r="581" spans="1:22" x14ac:dyDescent="0.25">
      <c r="A581" s="12">
        <v>2025</v>
      </c>
      <c r="B581" s="3" t="s">
        <v>605</v>
      </c>
      <c r="C581" s="14" t="s">
        <v>202</v>
      </c>
      <c r="D581" s="14" t="s">
        <v>203</v>
      </c>
      <c r="E581" s="14" t="s">
        <v>204</v>
      </c>
      <c r="F581" s="15" t="s">
        <v>618</v>
      </c>
      <c r="G581" s="15">
        <v>401</v>
      </c>
      <c r="H581" s="14">
        <v>1</v>
      </c>
      <c r="I581" s="14">
        <v>4</v>
      </c>
      <c r="J581" s="14">
        <v>1</v>
      </c>
      <c r="K581" s="14">
        <v>1</v>
      </c>
      <c r="L581" s="17" t="s">
        <v>100</v>
      </c>
      <c r="M581" s="6" t="s">
        <v>658</v>
      </c>
      <c r="N581" s="18">
        <v>9.3800000000000008</v>
      </c>
      <c r="O581" s="18">
        <v>13.1</v>
      </c>
      <c r="P581" s="18">
        <v>41.2</v>
      </c>
      <c r="Q581" s="27">
        <f t="shared" si="33"/>
        <v>9.2627500000000005</v>
      </c>
      <c r="R581" s="18">
        <v>6065.54</v>
      </c>
      <c r="S581" s="19">
        <f t="shared" si="34"/>
        <v>5410.8296164139165</v>
      </c>
      <c r="T581" s="18">
        <v>72.38</v>
      </c>
      <c r="U581" s="18">
        <v>46.16</v>
      </c>
      <c r="V581" s="15">
        <v>2</v>
      </c>
    </row>
    <row r="582" spans="1:22" x14ac:dyDescent="0.25">
      <c r="A582" s="12">
        <v>2025</v>
      </c>
      <c r="B582" s="3" t="s">
        <v>605</v>
      </c>
      <c r="C582" s="14" t="s">
        <v>202</v>
      </c>
      <c r="D582" s="14" t="s">
        <v>203</v>
      </c>
      <c r="E582" s="14" t="s">
        <v>204</v>
      </c>
      <c r="F582" s="15" t="s">
        <v>619</v>
      </c>
      <c r="G582" s="15">
        <v>402</v>
      </c>
      <c r="H582" s="14">
        <v>2</v>
      </c>
      <c r="I582" s="14">
        <v>4</v>
      </c>
      <c r="J582" s="14">
        <v>2</v>
      </c>
      <c r="K582" s="14">
        <v>5</v>
      </c>
      <c r="L582" s="17" t="s">
        <v>336</v>
      </c>
      <c r="M582" s="6" t="s">
        <v>658</v>
      </c>
      <c r="N582" s="18">
        <v>7.22</v>
      </c>
      <c r="O582" s="18">
        <v>11.7</v>
      </c>
      <c r="P582" s="18">
        <v>37.1</v>
      </c>
      <c r="Q582" s="27">
        <f t="shared" si="33"/>
        <v>7.2446136363636366</v>
      </c>
      <c r="R582" s="18">
        <v>4744</v>
      </c>
      <c r="S582" s="19">
        <f t="shared" si="34"/>
        <v>4231.9357716324712</v>
      </c>
      <c r="T582" s="18">
        <v>70.34</v>
      </c>
      <c r="U582" s="18">
        <v>42.91</v>
      </c>
      <c r="V582" s="15">
        <v>3</v>
      </c>
    </row>
    <row r="583" spans="1:22" x14ac:dyDescent="0.25">
      <c r="A583" s="12">
        <v>2025</v>
      </c>
      <c r="B583" s="3" t="s">
        <v>605</v>
      </c>
      <c r="C583" s="14" t="s">
        <v>202</v>
      </c>
      <c r="D583" s="14" t="s">
        <v>203</v>
      </c>
      <c r="E583" s="14" t="s">
        <v>204</v>
      </c>
      <c r="F583" s="15" t="s">
        <v>620</v>
      </c>
      <c r="G583" s="15">
        <v>403</v>
      </c>
      <c r="H583" s="14">
        <v>3</v>
      </c>
      <c r="I583" s="14">
        <v>4</v>
      </c>
      <c r="J583" s="14">
        <v>2</v>
      </c>
      <c r="K583" s="14">
        <v>3</v>
      </c>
      <c r="L583" s="17" t="s">
        <v>100</v>
      </c>
      <c r="M583" s="17" t="s">
        <v>53</v>
      </c>
      <c r="N583" s="18">
        <v>10.24</v>
      </c>
      <c r="O583" s="18">
        <v>13.4</v>
      </c>
      <c r="P583" s="18">
        <v>42.2</v>
      </c>
      <c r="Q583" s="27">
        <f t="shared" si="33"/>
        <v>10.077090909090908</v>
      </c>
      <c r="R583" s="18">
        <v>6598.8</v>
      </c>
      <c r="S583" s="19">
        <f t="shared" si="34"/>
        <v>5886.5298840321148</v>
      </c>
      <c r="T583" s="18">
        <v>72.5</v>
      </c>
      <c r="U583" s="18">
        <v>47.85</v>
      </c>
      <c r="V583" s="15">
        <v>2</v>
      </c>
    </row>
    <row r="584" spans="1:22" x14ac:dyDescent="0.25">
      <c r="A584" s="12">
        <v>2025</v>
      </c>
      <c r="B584" s="3" t="s">
        <v>605</v>
      </c>
      <c r="C584" s="14" t="s">
        <v>202</v>
      </c>
      <c r="D584" s="14" t="s">
        <v>203</v>
      </c>
      <c r="E584" s="14" t="s">
        <v>204</v>
      </c>
      <c r="F584" s="15" t="s">
        <v>621</v>
      </c>
      <c r="G584" s="15">
        <v>404</v>
      </c>
      <c r="H584" s="14">
        <v>4</v>
      </c>
      <c r="I584" s="14">
        <v>4</v>
      </c>
      <c r="J584" s="14">
        <v>3</v>
      </c>
      <c r="K584" s="14">
        <v>6</v>
      </c>
      <c r="L584" s="17" t="s">
        <v>336</v>
      </c>
      <c r="M584" s="17" t="s">
        <v>30</v>
      </c>
      <c r="N584" s="18">
        <v>9.6199999999999992</v>
      </c>
      <c r="O584" s="18">
        <v>11.2</v>
      </c>
      <c r="P584" s="18">
        <v>37</v>
      </c>
      <c r="Q584" s="27">
        <f t="shared" si="33"/>
        <v>9.7074545454545458</v>
      </c>
      <c r="R584" s="18">
        <v>6356.75</v>
      </c>
      <c r="S584" s="19">
        <f t="shared" si="34"/>
        <v>5670.6066012488845</v>
      </c>
      <c r="T584" s="18">
        <v>70.66</v>
      </c>
      <c r="U584" s="18">
        <v>44.34</v>
      </c>
      <c r="V584" s="15">
        <v>3</v>
      </c>
    </row>
    <row r="585" spans="1:22" x14ac:dyDescent="0.25">
      <c r="A585" s="12">
        <v>2025</v>
      </c>
      <c r="B585" s="3" t="s">
        <v>605</v>
      </c>
      <c r="C585" s="14" t="s">
        <v>202</v>
      </c>
      <c r="D585" s="14" t="s">
        <v>203</v>
      </c>
      <c r="E585" s="14" t="s">
        <v>204</v>
      </c>
      <c r="F585" s="15" t="s">
        <v>622</v>
      </c>
      <c r="G585" s="15">
        <v>501</v>
      </c>
      <c r="H585" s="14">
        <v>1</v>
      </c>
      <c r="I585" s="14">
        <v>5</v>
      </c>
      <c r="J585" s="14">
        <v>1</v>
      </c>
      <c r="K585" s="14">
        <v>6</v>
      </c>
      <c r="L585" s="17" t="s">
        <v>336</v>
      </c>
      <c r="M585" s="17" t="s">
        <v>30</v>
      </c>
      <c r="N585" s="18">
        <v>8.3800000000000008</v>
      </c>
      <c r="O585" s="18">
        <v>12.4</v>
      </c>
      <c r="P585" s="18">
        <v>37.6</v>
      </c>
      <c r="Q585" s="27">
        <f t="shared" si="33"/>
        <v>8.3419090909090912</v>
      </c>
      <c r="R585" s="18">
        <v>5462.54</v>
      </c>
      <c r="S585" s="19">
        <f t="shared" si="34"/>
        <v>4872.9170383586088</v>
      </c>
      <c r="T585" s="18">
        <v>71.53</v>
      </c>
      <c r="U585" s="18">
        <v>48.03</v>
      </c>
      <c r="V585" s="15">
        <v>3</v>
      </c>
    </row>
    <row r="586" spans="1:22" x14ac:dyDescent="0.25">
      <c r="A586" s="12">
        <v>2025</v>
      </c>
      <c r="B586" s="3" t="s">
        <v>605</v>
      </c>
      <c r="C586" s="14" t="s">
        <v>202</v>
      </c>
      <c r="D586" s="14" t="s">
        <v>203</v>
      </c>
      <c r="E586" s="14" t="s">
        <v>204</v>
      </c>
      <c r="F586" s="15" t="s">
        <v>623</v>
      </c>
      <c r="G586" s="15">
        <v>502</v>
      </c>
      <c r="H586" s="14">
        <v>2</v>
      </c>
      <c r="I586" s="14">
        <v>5</v>
      </c>
      <c r="J586" s="14">
        <v>2</v>
      </c>
      <c r="K586" s="14">
        <v>7</v>
      </c>
      <c r="L586" s="17" t="s">
        <v>336</v>
      </c>
      <c r="M586" s="17" t="s">
        <v>53</v>
      </c>
      <c r="N586" s="18">
        <v>7.29</v>
      </c>
      <c r="O586" s="18">
        <v>11.7</v>
      </c>
      <c r="P586" s="18">
        <v>36.6</v>
      </c>
      <c r="Q586" s="27">
        <f t="shared" si="33"/>
        <v>7.3148522727272729</v>
      </c>
      <c r="R586" s="18">
        <v>4789.99</v>
      </c>
      <c r="S586" s="19">
        <f t="shared" si="34"/>
        <v>4272.9616413916146</v>
      </c>
      <c r="T586" s="18">
        <v>71.040000000000006</v>
      </c>
      <c r="U586" s="18">
        <v>48.27</v>
      </c>
      <c r="V586" s="15">
        <v>4</v>
      </c>
    </row>
    <row r="587" spans="1:22" x14ac:dyDescent="0.25">
      <c r="A587" s="12">
        <v>2025</v>
      </c>
      <c r="B587" s="3" t="s">
        <v>605</v>
      </c>
      <c r="C587" s="14" t="s">
        <v>202</v>
      </c>
      <c r="D587" s="14" t="s">
        <v>203</v>
      </c>
      <c r="E587" s="14" t="s">
        <v>204</v>
      </c>
      <c r="F587" s="15" t="s">
        <v>624</v>
      </c>
      <c r="G587" s="15">
        <v>503</v>
      </c>
      <c r="H587" s="14">
        <v>3</v>
      </c>
      <c r="I587" s="14">
        <v>5</v>
      </c>
      <c r="J587" s="14">
        <v>3</v>
      </c>
      <c r="K587" s="14">
        <v>5</v>
      </c>
      <c r="L587" s="17" t="s">
        <v>336</v>
      </c>
      <c r="M587" s="6" t="s">
        <v>658</v>
      </c>
      <c r="N587" s="18">
        <v>8.32</v>
      </c>
      <c r="O587" s="18">
        <v>11.4</v>
      </c>
      <c r="P587" s="18">
        <v>34.299999999999997</v>
      </c>
      <c r="Q587" s="27">
        <f t="shared" si="33"/>
        <v>8.3767272727272726</v>
      </c>
      <c r="R587" s="18">
        <v>5485.34</v>
      </c>
      <c r="S587" s="19">
        <f t="shared" si="34"/>
        <v>4893.2560214094556</v>
      </c>
      <c r="T587" s="18">
        <v>70.61</v>
      </c>
      <c r="U587" s="18">
        <v>43.04</v>
      </c>
      <c r="V587" s="15">
        <v>2</v>
      </c>
    </row>
    <row r="588" spans="1:22" x14ac:dyDescent="0.25">
      <c r="A588" s="12">
        <v>2025</v>
      </c>
      <c r="B588" s="3" t="s">
        <v>605</v>
      </c>
      <c r="C588" s="14" t="s">
        <v>202</v>
      </c>
      <c r="D588" s="14" t="s">
        <v>203</v>
      </c>
      <c r="E588" s="14" t="s">
        <v>204</v>
      </c>
      <c r="F588" s="15" t="s">
        <v>625</v>
      </c>
      <c r="G588" s="15">
        <v>504</v>
      </c>
      <c r="H588" s="14">
        <v>4</v>
      </c>
      <c r="I588" s="14">
        <v>5</v>
      </c>
      <c r="J588" s="14">
        <v>3</v>
      </c>
      <c r="K588" s="14">
        <v>3</v>
      </c>
      <c r="L588" s="17" t="s">
        <v>100</v>
      </c>
      <c r="M588" s="17" t="s">
        <v>53</v>
      </c>
      <c r="N588" s="18">
        <v>10.33</v>
      </c>
      <c r="O588" s="18">
        <v>12.8</v>
      </c>
      <c r="P588" s="18">
        <v>41.5</v>
      </c>
      <c r="Q588" s="27">
        <f t="shared" si="33"/>
        <v>10.236090909090908</v>
      </c>
      <c r="R588" s="18">
        <v>6702.91</v>
      </c>
      <c r="S588" s="19">
        <f t="shared" si="34"/>
        <v>5979.4023193577159</v>
      </c>
      <c r="T588" s="18">
        <v>72.12</v>
      </c>
      <c r="U588" s="18">
        <v>45.31</v>
      </c>
      <c r="V588" s="15">
        <v>1</v>
      </c>
    </row>
    <row r="589" spans="1:22" x14ac:dyDescent="0.25">
      <c r="A589" s="12">
        <v>2025</v>
      </c>
      <c r="B589" s="3" t="s">
        <v>605</v>
      </c>
      <c r="C589" s="14" t="s">
        <v>202</v>
      </c>
      <c r="D589" s="14" t="s">
        <v>203</v>
      </c>
      <c r="E589" s="14" t="s">
        <v>204</v>
      </c>
      <c r="F589" s="15" t="s">
        <v>626</v>
      </c>
      <c r="G589" s="15">
        <v>601</v>
      </c>
      <c r="H589" s="14">
        <v>1</v>
      </c>
      <c r="I589" s="14">
        <v>6</v>
      </c>
      <c r="J589" s="14">
        <v>1</v>
      </c>
      <c r="K589" s="14">
        <v>7</v>
      </c>
      <c r="L589" s="17" t="s">
        <v>336</v>
      </c>
      <c r="M589" s="17" t="s">
        <v>53</v>
      </c>
      <c r="N589" s="18">
        <v>8.5500000000000007</v>
      </c>
      <c r="O589" s="18">
        <v>12</v>
      </c>
      <c r="P589" s="18">
        <v>37.9</v>
      </c>
      <c r="Q589" s="27">
        <f t="shared" si="33"/>
        <v>8.5500000000000007</v>
      </c>
      <c r="R589" s="18">
        <v>5598.81</v>
      </c>
      <c r="S589" s="19">
        <f t="shared" si="34"/>
        <v>4994.4781445138269</v>
      </c>
      <c r="T589" s="18">
        <v>71.63</v>
      </c>
      <c r="U589" s="18">
        <v>51.42</v>
      </c>
      <c r="V589" s="15">
        <v>5</v>
      </c>
    </row>
    <row r="590" spans="1:22" x14ac:dyDescent="0.25">
      <c r="A590" s="12">
        <v>2025</v>
      </c>
      <c r="B590" s="3" t="s">
        <v>605</v>
      </c>
      <c r="C590" s="14" t="s">
        <v>202</v>
      </c>
      <c r="D590" s="14" t="s">
        <v>203</v>
      </c>
      <c r="E590" s="14" t="s">
        <v>204</v>
      </c>
      <c r="F590" s="15" t="s">
        <v>627</v>
      </c>
      <c r="G590" s="15">
        <v>602</v>
      </c>
      <c r="H590" s="14">
        <v>2</v>
      </c>
      <c r="I590" s="14">
        <v>6</v>
      </c>
      <c r="J590" s="14">
        <v>2</v>
      </c>
      <c r="K590" s="14">
        <v>2</v>
      </c>
      <c r="L590" s="17" t="s">
        <v>100</v>
      </c>
      <c r="M590" s="17" t="s">
        <v>30</v>
      </c>
      <c r="N590" s="18">
        <v>8.6199999999999992</v>
      </c>
      <c r="O590" s="18">
        <v>13.5</v>
      </c>
      <c r="P590" s="18">
        <v>41.1</v>
      </c>
      <c r="Q590" s="27">
        <f t="shared" si="33"/>
        <v>8.4730681818181797</v>
      </c>
      <c r="R590" s="18">
        <v>5548.43</v>
      </c>
      <c r="S590" s="19">
        <f t="shared" si="34"/>
        <v>4949.5361284567352</v>
      </c>
      <c r="T590" s="18">
        <v>71.38</v>
      </c>
      <c r="U590" s="18">
        <v>44.49</v>
      </c>
      <c r="V590" s="15">
        <v>3</v>
      </c>
    </row>
    <row r="591" spans="1:22" x14ac:dyDescent="0.25">
      <c r="A591" s="12">
        <v>2025</v>
      </c>
      <c r="B591" s="3" t="s">
        <v>605</v>
      </c>
      <c r="C591" s="14" t="s">
        <v>202</v>
      </c>
      <c r="D591" s="14" t="s">
        <v>203</v>
      </c>
      <c r="E591" s="14" t="s">
        <v>204</v>
      </c>
      <c r="F591" s="15" t="s">
        <v>628</v>
      </c>
      <c r="G591" s="15">
        <v>603</v>
      </c>
      <c r="H591" s="14">
        <v>3</v>
      </c>
      <c r="I591" s="14">
        <v>6</v>
      </c>
      <c r="J591" s="14">
        <v>3</v>
      </c>
      <c r="K591" s="14">
        <v>2</v>
      </c>
      <c r="L591" s="17" t="s">
        <v>100</v>
      </c>
      <c r="M591" s="17" t="s">
        <v>30</v>
      </c>
      <c r="N591" s="18">
        <v>10.19</v>
      </c>
      <c r="O591" s="18">
        <v>12.8</v>
      </c>
      <c r="P591" s="18">
        <v>40.9</v>
      </c>
      <c r="Q591" s="27">
        <f t="shared" si="33"/>
        <v>10.097363636363635</v>
      </c>
      <c r="R591" s="18">
        <v>6612.07</v>
      </c>
      <c r="S591" s="19">
        <f t="shared" si="34"/>
        <v>5898.3675289919711</v>
      </c>
      <c r="T591" s="18">
        <v>72.55</v>
      </c>
      <c r="U591" s="18">
        <v>46.7</v>
      </c>
      <c r="V591" s="15">
        <v>2</v>
      </c>
    </row>
    <row r="592" spans="1:22" x14ac:dyDescent="0.25">
      <c r="A592" s="12">
        <v>2025</v>
      </c>
      <c r="B592" s="3" t="s">
        <v>605</v>
      </c>
      <c r="C592" s="14" t="s">
        <v>202</v>
      </c>
      <c r="D592" s="14" t="s">
        <v>203</v>
      </c>
      <c r="E592" s="14" t="s">
        <v>204</v>
      </c>
      <c r="F592" s="15" t="s">
        <v>629</v>
      </c>
      <c r="G592" s="15">
        <v>604</v>
      </c>
      <c r="H592" s="14">
        <v>4</v>
      </c>
      <c r="I592" s="14">
        <v>6</v>
      </c>
      <c r="J592" s="14">
        <v>3</v>
      </c>
      <c r="K592" s="14">
        <v>8</v>
      </c>
      <c r="L592" s="17" t="s">
        <v>336</v>
      </c>
      <c r="M592" s="17" t="s">
        <v>603</v>
      </c>
      <c r="N592" s="18">
        <v>8.1999999999999993</v>
      </c>
      <c r="O592" s="18">
        <v>10.7</v>
      </c>
      <c r="P592" s="18">
        <v>32.5</v>
      </c>
      <c r="Q592" s="27">
        <f t="shared" si="33"/>
        <v>8.3211363636363629</v>
      </c>
      <c r="R592" s="18">
        <v>5448.94</v>
      </c>
      <c r="S592" s="19">
        <f t="shared" si="34"/>
        <v>4860.7850133809097</v>
      </c>
      <c r="T592" s="18">
        <v>70.78</v>
      </c>
      <c r="U592" s="18">
        <v>43.42</v>
      </c>
      <c r="V592" s="15">
        <v>4</v>
      </c>
    </row>
    <row r="593" spans="1:22" x14ac:dyDescent="0.25">
      <c r="A593" s="12">
        <v>2025</v>
      </c>
      <c r="B593" s="3" t="s">
        <v>630</v>
      </c>
      <c r="C593" s="14" t="s">
        <v>244</v>
      </c>
      <c r="D593" s="14" t="s">
        <v>245</v>
      </c>
      <c r="E593" s="14" t="s">
        <v>246</v>
      </c>
      <c r="F593" s="15" t="s">
        <v>631</v>
      </c>
      <c r="G593" s="15">
        <v>101</v>
      </c>
      <c r="H593" s="15">
        <v>1</v>
      </c>
      <c r="I593" s="15">
        <v>1</v>
      </c>
      <c r="J593" s="15">
        <v>1</v>
      </c>
      <c r="K593" s="15">
        <v>4</v>
      </c>
      <c r="L593" t="s">
        <v>100</v>
      </c>
      <c r="M593" t="s">
        <v>603</v>
      </c>
      <c r="N593" s="18">
        <v>11.03</v>
      </c>
      <c r="O593" s="18">
        <v>12.4</v>
      </c>
      <c r="P593" s="18">
        <v>44.4</v>
      </c>
      <c r="Q593" s="27">
        <f t="shared" si="33"/>
        <v>10.979863636363635</v>
      </c>
      <c r="R593" s="18">
        <v>7189.96</v>
      </c>
      <c r="S593" s="19">
        <f t="shared" si="34"/>
        <v>6413.8804638715437</v>
      </c>
      <c r="T593" s="18">
        <v>69.63</v>
      </c>
      <c r="U593" s="18">
        <v>46.82</v>
      </c>
      <c r="V593" s="15">
        <v>1</v>
      </c>
    </row>
    <row r="594" spans="1:22" x14ac:dyDescent="0.25">
      <c r="A594" s="12">
        <v>2025</v>
      </c>
      <c r="B594" s="3" t="s">
        <v>630</v>
      </c>
      <c r="C594" s="14" t="s">
        <v>244</v>
      </c>
      <c r="D594" s="14" t="s">
        <v>245</v>
      </c>
      <c r="E594" s="14" t="s">
        <v>246</v>
      </c>
      <c r="F594" s="15" t="s">
        <v>632</v>
      </c>
      <c r="G594" s="15">
        <v>102</v>
      </c>
      <c r="H594" s="15">
        <v>2</v>
      </c>
      <c r="I594" s="15">
        <v>1</v>
      </c>
      <c r="J594" s="15">
        <v>1</v>
      </c>
      <c r="K594" s="15">
        <v>2</v>
      </c>
      <c r="L594" t="s">
        <v>100</v>
      </c>
      <c r="M594" t="s">
        <v>30</v>
      </c>
      <c r="N594" s="18">
        <v>12.3</v>
      </c>
      <c r="O594" s="18">
        <v>11.4</v>
      </c>
      <c r="P594" s="18">
        <v>44.7</v>
      </c>
      <c r="Q594" s="27">
        <f t="shared" si="33"/>
        <v>12.383863636363637</v>
      </c>
      <c r="R594" s="18">
        <v>8109.34</v>
      </c>
      <c r="S594" s="19">
        <f t="shared" si="34"/>
        <v>7234.0231935771635</v>
      </c>
      <c r="T594" s="18">
        <v>69.010000000000005</v>
      </c>
      <c r="U594" s="18">
        <v>46.56</v>
      </c>
      <c r="V594" s="15">
        <v>2</v>
      </c>
    </row>
    <row r="595" spans="1:22" x14ac:dyDescent="0.25">
      <c r="A595" s="12">
        <v>2025</v>
      </c>
      <c r="B595" s="3" t="s">
        <v>630</v>
      </c>
      <c r="C595" s="14" t="s">
        <v>244</v>
      </c>
      <c r="D595" s="14" t="s">
        <v>245</v>
      </c>
      <c r="E595" s="14" t="s">
        <v>246</v>
      </c>
      <c r="F595" s="15" t="s">
        <v>633</v>
      </c>
      <c r="G595" s="15">
        <v>103</v>
      </c>
      <c r="H595" s="15">
        <v>3</v>
      </c>
      <c r="I595" s="15">
        <v>1</v>
      </c>
      <c r="J595" s="15">
        <v>2</v>
      </c>
      <c r="K595" s="15">
        <v>8</v>
      </c>
      <c r="L595" t="s">
        <v>336</v>
      </c>
      <c r="M595" t="s">
        <v>603</v>
      </c>
      <c r="N595" s="18">
        <v>14.37</v>
      </c>
      <c r="O595" s="18">
        <v>12.5</v>
      </c>
      <c r="P595" s="18">
        <v>44.1</v>
      </c>
      <c r="Q595" s="27">
        <f t="shared" si="33"/>
        <v>14.288352272727272</v>
      </c>
      <c r="R595" s="18">
        <v>9356.4599999999991</v>
      </c>
      <c r="S595" s="19">
        <f t="shared" si="34"/>
        <v>8346.5298840321138</v>
      </c>
      <c r="T595" s="18">
        <v>69.209999999999994</v>
      </c>
      <c r="U595" s="18">
        <v>55.93</v>
      </c>
      <c r="V595" s="15">
        <v>0</v>
      </c>
    </row>
    <row r="596" spans="1:22" x14ac:dyDescent="0.25">
      <c r="A596" s="12">
        <v>2025</v>
      </c>
      <c r="B596" s="3" t="s">
        <v>630</v>
      </c>
      <c r="C596" s="14" t="s">
        <v>244</v>
      </c>
      <c r="D596" s="14" t="s">
        <v>245</v>
      </c>
      <c r="E596" s="14" t="s">
        <v>246</v>
      </c>
      <c r="F596" s="15" t="s">
        <v>634</v>
      </c>
      <c r="G596" s="15">
        <v>104</v>
      </c>
      <c r="H596" s="15">
        <v>4</v>
      </c>
      <c r="I596" s="15">
        <v>1</v>
      </c>
      <c r="J596" s="15">
        <v>2</v>
      </c>
      <c r="K596" s="15">
        <v>5</v>
      </c>
      <c r="L596" t="s">
        <v>336</v>
      </c>
      <c r="M596" s="6" t="s">
        <v>658</v>
      </c>
      <c r="N596" s="18">
        <v>13.95</v>
      </c>
      <c r="O596" s="18">
        <v>12.7</v>
      </c>
      <c r="P596" s="18">
        <v>43.8</v>
      </c>
      <c r="Q596" s="27">
        <f t="shared" si="33"/>
        <v>13.839034090909092</v>
      </c>
      <c r="R596" s="18">
        <v>9062.23</v>
      </c>
      <c r="S596" s="19">
        <f t="shared" si="34"/>
        <v>8084.058876003568</v>
      </c>
      <c r="T596" s="18">
        <v>68.41</v>
      </c>
      <c r="U596" s="18">
        <v>53.67</v>
      </c>
      <c r="V596" s="15">
        <v>1</v>
      </c>
    </row>
    <row r="597" spans="1:22" x14ac:dyDescent="0.25">
      <c r="A597" s="12">
        <v>2025</v>
      </c>
      <c r="B597" s="3" t="s">
        <v>630</v>
      </c>
      <c r="C597" s="14" t="s">
        <v>244</v>
      </c>
      <c r="D597" s="14" t="s">
        <v>245</v>
      </c>
      <c r="E597" s="14" t="s">
        <v>246</v>
      </c>
      <c r="F597" s="15" t="s">
        <v>635</v>
      </c>
      <c r="G597" s="15">
        <v>105</v>
      </c>
      <c r="H597" s="15">
        <v>5</v>
      </c>
      <c r="I597" s="15">
        <v>1</v>
      </c>
      <c r="J597" s="15">
        <v>3</v>
      </c>
      <c r="K597" s="15">
        <v>3</v>
      </c>
      <c r="L597" t="s">
        <v>100</v>
      </c>
      <c r="M597" t="s">
        <v>53</v>
      </c>
      <c r="N597" s="18">
        <v>12.23</v>
      </c>
      <c r="O597" s="18">
        <v>11.2</v>
      </c>
      <c r="P597" s="18">
        <v>44.6</v>
      </c>
      <c r="Q597" s="27">
        <f t="shared" si="33"/>
        <v>12.34118181818182</v>
      </c>
      <c r="R597" s="18">
        <v>8081.39</v>
      </c>
      <c r="S597" s="19">
        <f t="shared" si="34"/>
        <v>7209.0900981266732</v>
      </c>
      <c r="T597" s="18">
        <v>68.489999999999995</v>
      </c>
      <c r="U597" s="18">
        <v>47.84</v>
      </c>
      <c r="V597" s="15">
        <v>1</v>
      </c>
    </row>
    <row r="598" spans="1:22" x14ac:dyDescent="0.25">
      <c r="A598" s="12">
        <v>2025</v>
      </c>
      <c r="B598" s="3" t="s">
        <v>630</v>
      </c>
      <c r="C598" s="14" t="s">
        <v>244</v>
      </c>
      <c r="D598" s="14" t="s">
        <v>245</v>
      </c>
      <c r="E598" s="14" t="s">
        <v>246</v>
      </c>
      <c r="F598" s="15" t="s">
        <v>636</v>
      </c>
      <c r="G598" s="15">
        <v>106</v>
      </c>
      <c r="H598" s="15">
        <v>6</v>
      </c>
      <c r="I598" s="15">
        <v>1</v>
      </c>
      <c r="J598" s="15">
        <v>3</v>
      </c>
      <c r="K598" s="15">
        <v>6</v>
      </c>
      <c r="L598" t="s">
        <v>336</v>
      </c>
      <c r="M598" t="s">
        <v>30</v>
      </c>
      <c r="N598" s="18">
        <v>13.68</v>
      </c>
      <c r="O598" s="18">
        <v>13</v>
      </c>
      <c r="P598" s="18">
        <v>43.7</v>
      </c>
      <c r="Q598" s="27">
        <f t="shared" si="33"/>
        <v>13.524545454545455</v>
      </c>
      <c r="R598" s="18">
        <v>8856.2999999999993</v>
      </c>
      <c r="S598" s="19">
        <f t="shared" si="34"/>
        <v>7900.3568242640495</v>
      </c>
      <c r="T598" s="18">
        <v>68.569999999999993</v>
      </c>
      <c r="U598" s="18">
        <v>53.79</v>
      </c>
      <c r="V598" s="15">
        <v>0</v>
      </c>
    </row>
    <row r="599" spans="1:22" x14ac:dyDescent="0.25">
      <c r="A599" s="12">
        <v>2025</v>
      </c>
      <c r="B599" s="3" t="s">
        <v>630</v>
      </c>
      <c r="C599" s="14" t="s">
        <v>244</v>
      </c>
      <c r="D599" s="14" t="s">
        <v>245</v>
      </c>
      <c r="E599" s="14" t="s">
        <v>246</v>
      </c>
      <c r="F599" s="15" t="s">
        <v>637</v>
      </c>
      <c r="G599" s="15">
        <v>201</v>
      </c>
      <c r="H599" s="15">
        <v>1</v>
      </c>
      <c r="I599" s="15">
        <v>2</v>
      </c>
      <c r="J599" s="15">
        <v>1</v>
      </c>
      <c r="K599" s="15">
        <v>8</v>
      </c>
      <c r="L599" t="s">
        <v>336</v>
      </c>
      <c r="M599" t="s">
        <v>603</v>
      </c>
      <c r="N599" s="18">
        <v>13.24</v>
      </c>
      <c r="O599" s="18">
        <v>12.6</v>
      </c>
      <c r="P599" s="18">
        <v>43.9</v>
      </c>
      <c r="Q599" s="27">
        <f t="shared" si="33"/>
        <v>13.149727272727272</v>
      </c>
      <c r="R599" s="18">
        <v>8610.85</v>
      </c>
      <c r="S599" s="19">
        <f t="shared" si="34"/>
        <v>7681.4005352363965</v>
      </c>
      <c r="T599" s="18">
        <v>67.650000000000006</v>
      </c>
      <c r="U599" s="18">
        <v>50.7</v>
      </c>
      <c r="V599" s="15">
        <v>1</v>
      </c>
    </row>
    <row r="600" spans="1:22" x14ac:dyDescent="0.25">
      <c r="A600" s="12">
        <v>2025</v>
      </c>
      <c r="B600" s="3" t="s">
        <v>630</v>
      </c>
      <c r="C600" s="14" t="s">
        <v>244</v>
      </c>
      <c r="D600" s="14" t="s">
        <v>245</v>
      </c>
      <c r="E600" s="14" t="s">
        <v>246</v>
      </c>
      <c r="F600" s="15" t="s">
        <v>638</v>
      </c>
      <c r="G600" s="15">
        <v>202</v>
      </c>
      <c r="H600" s="15">
        <v>2</v>
      </c>
      <c r="I600" s="15">
        <v>2</v>
      </c>
      <c r="J600" s="15">
        <v>1</v>
      </c>
      <c r="K600" s="15">
        <v>5</v>
      </c>
      <c r="L600" t="s">
        <v>336</v>
      </c>
      <c r="M600" s="6" t="s">
        <v>658</v>
      </c>
      <c r="N600" s="18">
        <v>14.05</v>
      </c>
      <c r="O600" s="18">
        <v>12.7</v>
      </c>
      <c r="P600" s="18">
        <v>43.9</v>
      </c>
      <c r="Q600" s="27">
        <f t="shared" si="33"/>
        <v>13.938238636363637</v>
      </c>
      <c r="R600" s="18">
        <v>9127.2000000000007</v>
      </c>
      <c r="S600" s="19">
        <f t="shared" si="34"/>
        <v>8142.0160570918833</v>
      </c>
      <c r="T600" s="18">
        <v>68.260000000000005</v>
      </c>
      <c r="U600" s="18">
        <v>52.08</v>
      </c>
      <c r="V600" s="15">
        <v>0</v>
      </c>
    </row>
    <row r="601" spans="1:22" x14ac:dyDescent="0.25">
      <c r="A601" s="12">
        <v>2025</v>
      </c>
      <c r="B601" s="3" t="s">
        <v>630</v>
      </c>
      <c r="C601" s="14" t="s">
        <v>244</v>
      </c>
      <c r="D601" s="14" t="s">
        <v>245</v>
      </c>
      <c r="E601" s="14" t="s">
        <v>246</v>
      </c>
      <c r="F601" s="15" t="s">
        <v>639</v>
      </c>
      <c r="G601" s="15">
        <v>203</v>
      </c>
      <c r="H601" s="15">
        <v>3</v>
      </c>
      <c r="I601" s="15">
        <v>2</v>
      </c>
      <c r="J601" s="15">
        <v>2</v>
      </c>
      <c r="K601" s="15">
        <v>6</v>
      </c>
      <c r="L601" t="s">
        <v>336</v>
      </c>
      <c r="M601" t="s">
        <v>30</v>
      </c>
      <c r="N601" s="18">
        <v>14.4</v>
      </c>
      <c r="O601" s="18">
        <v>12.8</v>
      </c>
      <c r="P601" s="18">
        <v>43.8</v>
      </c>
      <c r="Q601" s="27">
        <f t="shared" si="33"/>
        <v>14.269090909090909</v>
      </c>
      <c r="R601" s="18">
        <v>9343.85</v>
      </c>
      <c r="S601" s="19">
        <f t="shared" si="34"/>
        <v>8335.2809991079394</v>
      </c>
      <c r="T601" s="18">
        <v>68.12</v>
      </c>
      <c r="U601" s="18">
        <v>53.36</v>
      </c>
      <c r="V601" s="15">
        <v>1</v>
      </c>
    </row>
    <row r="602" spans="1:22" x14ac:dyDescent="0.25">
      <c r="A602" s="12">
        <v>2025</v>
      </c>
      <c r="B602" s="3" t="s">
        <v>630</v>
      </c>
      <c r="C602" s="14" t="s">
        <v>244</v>
      </c>
      <c r="D602" s="14" t="s">
        <v>245</v>
      </c>
      <c r="E602" s="14" t="s">
        <v>246</v>
      </c>
      <c r="F602" s="15" t="s">
        <v>640</v>
      </c>
      <c r="G602" s="15">
        <v>204</v>
      </c>
      <c r="H602" s="15">
        <v>4</v>
      </c>
      <c r="I602" s="15">
        <v>2</v>
      </c>
      <c r="J602" s="15">
        <v>2</v>
      </c>
      <c r="K602" s="15">
        <v>4</v>
      </c>
      <c r="L602" t="s">
        <v>100</v>
      </c>
      <c r="M602" t="s">
        <v>603</v>
      </c>
      <c r="N602" s="18">
        <v>14.43</v>
      </c>
      <c r="O602" s="18">
        <v>13.1</v>
      </c>
      <c r="P602" s="18">
        <v>43.8</v>
      </c>
      <c r="Q602" s="27">
        <f t="shared" si="33"/>
        <v>14.249624999999998</v>
      </c>
      <c r="R602" s="18">
        <v>9331.1</v>
      </c>
      <c r="S602" s="19">
        <f t="shared" si="34"/>
        <v>8323.9072256913478</v>
      </c>
      <c r="T602" s="18">
        <v>69.319999999999993</v>
      </c>
      <c r="U602" s="18">
        <v>50.62</v>
      </c>
      <c r="V602" s="15">
        <v>1</v>
      </c>
    </row>
    <row r="603" spans="1:22" x14ac:dyDescent="0.25">
      <c r="A603" s="12">
        <v>2025</v>
      </c>
      <c r="B603" s="3" t="s">
        <v>630</v>
      </c>
      <c r="C603" s="14" t="s">
        <v>244</v>
      </c>
      <c r="D603" s="14" t="s">
        <v>245</v>
      </c>
      <c r="E603" s="14" t="s">
        <v>246</v>
      </c>
      <c r="F603" s="15" t="s">
        <v>641</v>
      </c>
      <c r="G603" s="15">
        <v>205</v>
      </c>
      <c r="H603" s="15">
        <v>5</v>
      </c>
      <c r="I603" s="15">
        <v>2</v>
      </c>
      <c r="J603" s="15">
        <v>3</v>
      </c>
      <c r="K603" s="15">
        <v>8</v>
      </c>
      <c r="L603" t="s">
        <v>336</v>
      </c>
      <c r="M603" t="s">
        <v>603</v>
      </c>
      <c r="N603" s="18">
        <v>16.079999999999998</v>
      </c>
      <c r="O603" s="18">
        <v>13.5</v>
      </c>
      <c r="P603" s="18">
        <v>43.4</v>
      </c>
      <c r="Q603" s="27">
        <f t="shared" si="33"/>
        <v>15.80590909090909</v>
      </c>
      <c r="R603" s="18">
        <v>10350.200000000001</v>
      </c>
      <c r="S603" s="19">
        <f t="shared" si="34"/>
        <v>9233.0062444246214</v>
      </c>
      <c r="T603" s="18">
        <v>67.22</v>
      </c>
      <c r="U603" s="18">
        <v>52.76</v>
      </c>
      <c r="V603" s="15">
        <v>0</v>
      </c>
    </row>
    <row r="604" spans="1:22" x14ac:dyDescent="0.25">
      <c r="A604" s="12">
        <v>2025</v>
      </c>
      <c r="B604" s="3" t="s">
        <v>630</v>
      </c>
      <c r="C604" s="14" t="s">
        <v>244</v>
      </c>
      <c r="D604" s="14" t="s">
        <v>245</v>
      </c>
      <c r="E604" s="14" t="s">
        <v>246</v>
      </c>
      <c r="F604" s="15" t="s">
        <v>642</v>
      </c>
      <c r="G604" s="15">
        <v>206</v>
      </c>
      <c r="H604" s="15">
        <v>6</v>
      </c>
      <c r="I604" s="15">
        <v>2</v>
      </c>
      <c r="J604" s="15">
        <v>3</v>
      </c>
      <c r="K604" s="15">
        <v>1</v>
      </c>
      <c r="L604" t="s">
        <v>100</v>
      </c>
      <c r="M604" s="6" t="s">
        <v>658</v>
      </c>
      <c r="N604" s="18">
        <v>12.34</v>
      </c>
      <c r="O604" s="18">
        <v>11.4</v>
      </c>
      <c r="P604" s="18">
        <v>44.7</v>
      </c>
      <c r="Q604" s="27">
        <f t="shared" si="33"/>
        <v>12.424136363636363</v>
      </c>
      <c r="R604" s="18">
        <v>8135.71</v>
      </c>
      <c r="S604" s="19">
        <f t="shared" si="34"/>
        <v>7257.5468331846569</v>
      </c>
      <c r="T604" s="18">
        <v>68.73</v>
      </c>
      <c r="U604" s="18">
        <v>47.2</v>
      </c>
      <c r="V604" s="15">
        <v>1</v>
      </c>
    </row>
    <row r="605" spans="1:22" x14ac:dyDescent="0.25">
      <c r="A605" s="12">
        <v>2025</v>
      </c>
      <c r="B605" s="3" t="s">
        <v>630</v>
      </c>
      <c r="C605" s="14" t="s">
        <v>244</v>
      </c>
      <c r="D605" s="14" t="s">
        <v>245</v>
      </c>
      <c r="E605" s="14" t="s">
        <v>246</v>
      </c>
      <c r="F605" s="15" t="s">
        <v>643</v>
      </c>
      <c r="G605" s="15">
        <v>301</v>
      </c>
      <c r="H605" s="15">
        <v>1</v>
      </c>
      <c r="I605" s="15">
        <v>3</v>
      </c>
      <c r="J605" s="15">
        <v>1</v>
      </c>
      <c r="K605" s="15">
        <v>7</v>
      </c>
      <c r="L605" t="s">
        <v>336</v>
      </c>
      <c r="M605" t="s">
        <v>53</v>
      </c>
      <c r="N605" s="18">
        <v>15.04</v>
      </c>
      <c r="O605" s="18">
        <v>13.1</v>
      </c>
      <c r="P605" s="18">
        <v>43.7</v>
      </c>
      <c r="Q605" s="27">
        <f t="shared" si="33"/>
        <v>14.851999999999999</v>
      </c>
      <c r="R605" s="18">
        <v>9725.56</v>
      </c>
      <c r="S605" s="19">
        <f t="shared" si="34"/>
        <v>8675.78947368421</v>
      </c>
      <c r="T605" s="18">
        <v>68.72</v>
      </c>
      <c r="U605" s="18">
        <v>54.41</v>
      </c>
      <c r="V605" s="15">
        <v>1</v>
      </c>
    </row>
    <row r="606" spans="1:22" x14ac:dyDescent="0.25">
      <c r="A606" s="12">
        <v>2025</v>
      </c>
      <c r="B606" s="3" t="s">
        <v>630</v>
      </c>
      <c r="C606" s="14" t="s">
        <v>244</v>
      </c>
      <c r="D606" s="14" t="s">
        <v>245</v>
      </c>
      <c r="E606" s="14" t="s">
        <v>246</v>
      </c>
      <c r="F606" s="15" t="s">
        <v>644</v>
      </c>
      <c r="G606" s="15">
        <v>302</v>
      </c>
      <c r="H606" s="15">
        <v>2</v>
      </c>
      <c r="I606" s="15">
        <v>3</v>
      </c>
      <c r="J606" s="15">
        <v>1</v>
      </c>
      <c r="K606" s="15">
        <v>1</v>
      </c>
      <c r="L606" t="s">
        <v>100</v>
      </c>
      <c r="M606" s="6" t="s">
        <v>658</v>
      </c>
      <c r="N606" s="18">
        <v>14.52</v>
      </c>
      <c r="O606" s="18">
        <v>12.2</v>
      </c>
      <c r="P606" s="18">
        <v>44.6</v>
      </c>
      <c r="Q606" s="27">
        <f t="shared" si="33"/>
        <v>14.487</v>
      </c>
      <c r="R606" s="18">
        <v>9486.5400000000009</v>
      </c>
      <c r="S606" s="19">
        <f t="shared" si="34"/>
        <v>8462.5691347011598</v>
      </c>
      <c r="T606" s="18">
        <v>70.3</v>
      </c>
      <c r="U606" s="18">
        <v>51.24</v>
      </c>
      <c r="V606" s="15">
        <v>1</v>
      </c>
    </row>
    <row r="607" spans="1:22" x14ac:dyDescent="0.25">
      <c r="A607" s="12">
        <v>2025</v>
      </c>
      <c r="B607" s="3" t="s">
        <v>630</v>
      </c>
      <c r="C607" s="14" t="s">
        <v>244</v>
      </c>
      <c r="D607" s="14" t="s">
        <v>245</v>
      </c>
      <c r="E607" s="14" t="s">
        <v>246</v>
      </c>
      <c r="F607" s="15" t="s">
        <v>645</v>
      </c>
      <c r="G607" s="15">
        <v>303</v>
      </c>
      <c r="H607" s="15">
        <v>3</v>
      </c>
      <c r="I607" s="15">
        <v>3</v>
      </c>
      <c r="J607" s="15">
        <v>2</v>
      </c>
      <c r="K607" s="15">
        <v>2</v>
      </c>
      <c r="L607" t="s">
        <v>100</v>
      </c>
      <c r="M607" t="s">
        <v>30</v>
      </c>
      <c r="N607" s="18">
        <v>13.29</v>
      </c>
      <c r="O607" s="18">
        <v>10.1</v>
      </c>
      <c r="P607" s="18">
        <v>45.2</v>
      </c>
      <c r="Q607" s="27">
        <f t="shared" si="33"/>
        <v>13.57694318181818</v>
      </c>
      <c r="R607" s="18">
        <v>8890.61</v>
      </c>
      <c r="S607" s="19">
        <f t="shared" si="34"/>
        <v>7930.9634255129358</v>
      </c>
      <c r="T607" s="18">
        <v>68.53</v>
      </c>
      <c r="U607" s="18">
        <v>46.2</v>
      </c>
      <c r="V607" s="15">
        <v>2</v>
      </c>
    </row>
    <row r="608" spans="1:22" x14ac:dyDescent="0.25">
      <c r="A608" s="12">
        <v>2025</v>
      </c>
      <c r="B608" s="3" t="s">
        <v>630</v>
      </c>
      <c r="C608" s="14" t="s">
        <v>244</v>
      </c>
      <c r="D608" s="14" t="s">
        <v>245</v>
      </c>
      <c r="E608" s="14" t="s">
        <v>246</v>
      </c>
      <c r="F608" s="15" t="s">
        <v>646</v>
      </c>
      <c r="G608" s="15">
        <v>304</v>
      </c>
      <c r="H608" s="15">
        <v>4</v>
      </c>
      <c r="I608" s="15">
        <v>3</v>
      </c>
      <c r="J608" s="15">
        <v>2</v>
      </c>
      <c r="K608" s="15">
        <v>7</v>
      </c>
      <c r="L608" t="s">
        <v>336</v>
      </c>
      <c r="M608" t="s">
        <v>53</v>
      </c>
      <c r="N608" s="18">
        <v>13.86</v>
      </c>
      <c r="O608" s="18">
        <v>13.2</v>
      </c>
      <c r="P608" s="18">
        <v>43.6</v>
      </c>
      <c r="Q608" s="27">
        <f t="shared" si="33"/>
        <v>13.670999999999999</v>
      </c>
      <c r="R608" s="18">
        <v>8952.2000000000007</v>
      </c>
      <c r="S608" s="19">
        <f t="shared" si="34"/>
        <v>7985.9054415700275</v>
      </c>
      <c r="T608" s="18">
        <v>68.23</v>
      </c>
      <c r="U608" s="18">
        <v>52.9</v>
      </c>
      <c r="V608" s="15">
        <v>0</v>
      </c>
    </row>
    <row r="609" spans="1:22" x14ac:dyDescent="0.25">
      <c r="A609" s="12">
        <v>2025</v>
      </c>
      <c r="B609" s="3" t="s">
        <v>630</v>
      </c>
      <c r="C609" s="14" t="s">
        <v>244</v>
      </c>
      <c r="D609" s="14" t="s">
        <v>245</v>
      </c>
      <c r="E609" s="14" t="s">
        <v>246</v>
      </c>
      <c r="F609" s="15" t="s">
        <v>647</v>
      </c>
      <c r="G609" s="15">
        <v>305</v>
      </c>
      <c r="H609" s="15">
        <v>5</v>
      </c>
      <c r="I609" s="15">
        <v>3</v>
      </c>
      <c r="J609" s="15">
        <v>3</v>
      </c>
      <c r="K609" s="15">
        <v>2</v>
      </c>
      <c r="L609" t="s">
        <v>100</v>
      </c>
      <c r="M609" t="s">
        <v>30</v>
      </c>
      <c r="N609" s="18">
        <v>14.07</v>
      </c>
      <c r="O609" s="18">
        <v>12.3</v>
      </c>
      <c r="P609" s="18">
        <v>44.4</v>
      </c>
      <c r="Q609" s="27">
        <f t="shared" si="33"/>
        <v>14.022034090909091</v>
      </c>
      <c r="R609" s="18">
        <v>9182.07</v>
      </c>
      <c r="S609" s="19">
        <f t="shared" si="34"/>
        <v>8190.9634255129349</v>
      </c>
      <c r="T609" s="18">
        <v>69.14</v>
      </c>
      <c r="U609" s="18">
        <v>50.79</v>
      </c>
      <c r="V609" s="15">
        <v>2</v>
      </c>
    </row>
    <row r="610" spans="1:22" x14ac:dyDescent="0.25">
      <c r="A610" s="12">
        <v>2025</v>
      </c>
      <c r="B610" s="3" t="s">
        <v>630</v>
      </c>
      <c r="C610" s="14" t="s">
        <v>244</v>
      </c>
      <c r="D610" s="14" t="s">
        <v>245</v>
      </c>
      <c r="E610" s="14" t="s">
        <v>246</v>
      </c>
      <c r="F610" s="15" t="s">
        <v>648</v>
      </c>
      <c r="G610" s="15">
        <v>306</v>
      </c>
      <c r="H610" s="15">
        <v>6</v>
      </c>
      <c r="I610" s="15">
        <v>3</v>
      </c>
      <c r="J610" s="15">
        <v>3</v>
      </c>
      <c r="K610" s="15">
        <v>4</v>
      </c>
      <c r="L610" t="s">
        <v>100</v>
      </c>
      <c r="M610" t="s">
        <v>603</v>
      </c>
      <c r="N610" s="18">
        <v>14.7</v>
      </c>
      <c r="O610" s="18">
        <v>13.8</v>
      </c>
      <c r="P610" s="18">
        <v>43.2</v>
      </c>
      <c r="Q610" s="27">
        <f t="shared" si="33"/>
        <v>14.399318181818179</v>
      </c>
      <c r="R610" s="18">
        <v>9429.1299999999992</v>
      </c>
      <c r="S610" s="19">
        <f t="shared" si="34"/>
        <v>8411.3559322033889</v>
      </c>
      <c r="T610" s="18">
        <v>69.540000000000006</v>
      </c>
      <c r="U610" s="18">
        <v>53.56</v>
      </c>
      <c r="V610" s="15">
        <v>1</v>
      </c>
    </row>
    <row r="611" spans="1:22" x14ac:dyDescent="0.25">
      <c r="A611" s="12">
        <v>2025</v>
      </c>
      <c r="B611" s="3" t="s">
        <v>630</v>
      </c>
      <c r="C611" s="14" t="s">
        <v>244</v>
      </c>
      <c r="D611" s="14" t="s">
        <v>245</v>
      </c>
      <c r="E611" s="14" t="s">
        <v>246</v>
      </c>
      <c r="F611" s="15" t="s">
        <v>649</v>
      </c>
      <c r="G611" s="15">
        <v>401</v>
      </c>
      <c r="H611" s="15">
        <v>1</v>
      </c>
      <c r="I611" s="15">
        <v>4</v>
      </c>
      <c r="J611" s="15">
        <v>1</v>
      </c>
      <c r="K611" s="15">
        <v>6</v>
      </c>
      <c r="L611" t="s">
        <v>336</v>
      </c>
      <c r="M611" t="s">
        <v>30</v>
      </c>
      <c r="N611" s="18">
        <v>13.73</v>
      </c>
      <c r="O611" s="18">
        <v>13</v>
      </c>
      <c r="P611" s="18">
        <v>43.6</v>
      </c>
      <c r="Q611" s="27">
        <f t="shared" si="33"/>
        <v>13.573977272727273</v>
      </c>
      <c r="R611" s="18">
        <v>8888.67</v>
      </c>
      <c r="S611" s="19">
        <f t="shared" si="34"/>
        <v>7929.232827832293</v>
      </c>
      <c r="T611" s="18">
        <v>68.489999999999995</v>
      </c>
      <c r="U611" s="18">
        <v>53.52</v>
      </c>
      <c r="V611" s="15">
        <v>0</v>
      </c>
    </row>
    <row r="612" spans="1:22" x14ac:dyDescent="0.25">
      <c r="A612" s="12">
        <v>2025</v>
      </c>
      <c r="B612" s="3" t="s">
        <v>630</v>
      </c>
      <c r="C612" s="14" t="s">
        <v>244</v>
      </c>
      <c r="D612" s="14" t="s">
        <v>245</v>
      </c>
      <c r="E612" s="14" t="s">
        <v>246</v>
      </c>
      <c r="F612" s="15" t="s">
        <v>650</v>
      </c>
      <c r="G612" s="15">
        <v>402</v>
      </c>
      <c r="H612" s="15">
        <v>2</v>
      </c>
      <c r="I612" s="15">
        <v>4</v>
      </c>
      <c r="J612" s="15">
        <v>1</v>
      </c>
      <c r="K612" s="15">
        <v>3</v>
      </c>
      <c r="L612" t="s">
        <v>100</v>
      </c>
      <c r="M612" t="s">
        <v>53</v>
      </c>
      <c r="N612" s="18">
        <v>13.6</v>
      </c>
      <c r="O612" s="18">
        <v>12.4</v>
      </c>
      <c r="P612" s="18">
        <v>44.3</v>
      </c>
      <c r="Q612" s="27">
        <f>N612*(1-O612/100)/(1-0.12)</f>
        <v>13.538181818181817</v>
      </c>
      <c r="R612" s="18">
        <v>8865.23</v>
      </c>
      <c r="S612" s="19">
        <f t="shared" si="34"/>
        <v>7908.3229259589652</v>
      </c>
      <c r="T612" s="18">
        <v>69.010000000000005</v>
      </c>
      <c r="U612" s="18">
        <v>47.76</v>
      </c>
      <c r="V612" s="15">
        <v>0</v>
      </c>
    </row>
    <row r="613" spans="1:22" x14ac:dyDescent="0.25">
      <c r="A613" s="12">
        <v>2025</v>
      </c>
      <c r="B613" s="3" t="s">
        <v>630</v>
      </c>
      <c r="C613" s="14" t="s">
        <v>244</v>
      </c>
      <c r="D613" s="14" t="s">
        <v>245</v>
      </c>
      <c r="E613" s="14" t="s">
        <v>246</v>
      </c>
      <c r="F613" s="15" t="s">
        <v>651</v>
      </c>
      <c r="G613" s="15">
        <v>403</v>
      </c>
      <c r="H613" s="15">
        <v>3</v>
      </c>
      <c r="I613" s="15">
        <v>4</v>
      </c>
      <c r="J613" s="15">
        <v>2</v>
      </c>
      <c r="K613" s="15">
        <v>1</v>
      </c>
      <c r="L613" t="s">
        <v>100</v>
      </c>
      <c r="M613" s="6" t="s">
        <v>658</v>
      </c>
      <c r="N613" s="18">
        <v>11.14</v>
      </c>
      <c r="O613" s="18">
        <v>13.3</v>
      </c>
      <c r="P613" s="18">
        <v>43.6</v>
      </c>
      <c r="Q613" s="27">
        <f t="shared" si="33"/>
        <v>10.97543181818182</v>
      </c>
      <c r="R613" s="18">
        <v>7187.06</v>
      </c>
      <c r="S613" s="19">
        <f t="shared" si="34"/>
        <v>6411.2934879571812</v>
      </c>
      <c r="T613" s="18">
        <v>69.010000000000005</v>
      </c>
      <c r="U613" s="18">
        <v>48.13</v>
      </c>
      <c r="V613" s="15">
        <v>1</v>
      </c>
    </row>
    <row r="614" spans="1:22" x14ac:dyDescent="0.25">
      <c r="A614" s="12">
        <v>2025</v>
      </c>
      <c r="B614" s="3" t="s">
        <v>630</v>
      </c>
      <c r="C614" s="14" t="s">
        <v>244</v>
      </c>
      <c r="D614" s="14" t="s">
        <v>245</v>
      </c>
      <c r="E614" s="14" t="s">
        <v>246</v>
      </c>
      <c r="F614" s="15" t="s">
        <v>652</v>
      </c>
      <c r="G614" s="15">
        <v>404</v>
      </c>
      <c r="H614" s="15">
        <v>4</v>
      </c>
      <c r="I614" s="15">
        <v>4</v>
      </c>
      <c r="J614" s="15">
        <v>2</v>
      </c>
      <c r="K614" s="15">
        <v>3</v>
      </c>
      <c r="L614" t="s">
        <v>100</v>
      </c>
      <c r="M614" t="s">
        <v>53</v>
      </c>
      <c r="N614" s="18">
        <v>14.21</v>
      </c>
      <c r="O614" s="18">
        <v>13.1</v>
      </c>
      <c r="P614" s="18">
        <v>43.8</v>
      </c>
      <c r="Q614" s="27">
        <f t="shared" si="33"/>
        <v>14.032375</v>
      </c>
      <c r="R614" s="18">
        <v>9188.84</v>
      </c>
      <c r="S614" s="19">
        <f t="shared" si="34"/>
        <v>8197.0026761819809</v>
      </c>
      <c r="T614" s="18">
        <v>69.28</v>
      </c>
      <c r="U614" s="18">
        <v>50.8</v>
      </c>
      <c r="V614" s="15">
        <v>1</v>
      </c>
    </row>
    <row r="615" spans="1:22" x14ac:dyDescent="0.25">
      <c r="A615" s="12">
        <v>2025</v>
      </c>
      <c r="B615" s="3" t="s">
        <v>630</v>
      </c>
      <c r="C615" s="14" t="s">
        <v>244</v>
      </c>
      <c r="D615" s="14" t="s">
        <v>245</v>
      </c>
      <c r="E615" s="14" t="s">
        <v>246</v>
      </c>
      <c r="F615" s="15" t="s">
        <v>653</v>
      </c>
      <c r="G615" s="15">
        <v>405</v>
      </c>
      <c r="H615" s="15">
        <v>5</v>
      </c>
      <c r="I615" s="15">
        <v>4</v>
      </c>
      <c r="J615" s="15">
        <v>3</v>
      </c>
      <c r="K615" s="15">
        <v>5</v>
      </c>
      <c r="L615" t="s">
        <v>336</v>
      </c>
      <c r="M615" s="6" t="s">
        <v>658</v>
      </c>
      <c r="N615" s="18">
        <v>16.91</v>
      </c>
      <c r="O615" s="18">
        <v>13.6</v>
      </c>
      <c r="P615" s="18">
        <v>43.5</v>
      </c>
      <c r="Q615" s="27">
        <f t="shared" si="33"/>
        <v>16.602545454545453</v>
      </c>
      <c r="R615" s="18">
        <v>10871.87</v>
      </c>
      <c r="S615" s="19">
        <f t="shared" si="34"/>
        <v>9698.367528991972</v>
      </c>
      <c r="T615" s="18">
        <v>67.819999999999993</v>
      </c>
      <c r="U615" s="18">
        <v>55.6</v>
      </c>
      <c r="V615" s="15">
        <v>1</v>
      </c>
    </row>
    <row r="616" spans="1:22" x14ac:dyDescent="0.25">
      <c r="A616" s="12">
        <v>2025</v>
      </c>
      <c r="B616" s="3" t="s">
        <v>630</v>
      </c>
      <c r="C616" s="14" t="s">
        <v>244</v>
      </c>
      <c r="D616" s="14" t="s">
        <v>245</v>
      </c>
      <c r="E616" s="14" t="s">
        <v>246</v>
      </c>
      <c r="F616" s="15" t="s">
        <v>654</v>
      </c>
      <c r="G616" s="15">
        <v>406</v>
      </c>
      <c r="H616" s="15">
        <v>6</v>
      </c>
      <c r="I616" s="15">
        <v>4</v>
      </c>
      <c r="J616" s="15">
        <v>3</v>
      </c>
      <c r="K616" s="15">
        <v>7</v>
      </c>
      <c r="L616" t="s">
        <v>336</v>
      </c>
      <c r="M616" t="s">
        <v>53</v>
      </c>
      <c r="N616" s="18">
        <v>13.98</v>
      </c>
      <c r="O616" s="18">
        <v>12.9</v>
      </c>
      <c r="P616" s="18">
        <v>43.8</v>
      </c>
      <c r="Q616" s="27">
        <f t="shared" si="33"/>
        <v>13.837022727272727</v>
      </c>
      <c r="R616" s="18">
        <v>9060.92</v>
      </c>
      <c r="S616" s="19">
        <f t="shared" si="34"/>
        <v>8082.8902765388048</v>
      </c>
      <c r="T616" s="18">
        <v>68.16</v>
      </c>
      <c r="U616" s="18">
        <v>54.07</v>
      </c>
      <c r="V616" s="15">
        <v>0</v>
      </c>
    </row>
    <row r="617" spans="1:22" x14ac:dyDescent="0.25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2"/>
      <c r="M617" s="2"/>
      <c r="N617" s="3"/>
      <c r="O617" s="3"/>
      <c r="P617" s="3"/>
      <c r="Q617" s="9"/>
      <c r="R617" s="9"/>
      <c r="S617" s="10"/>
      <c r="T617" s="7"/>
      <c r="U617" s="7"/>
    </row>
    <row r="618" spans="1:22" x14ac:dyDescent="0.25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2"/>
      <c r="M618" s="2"/>
      <c r="N618" s="3"/>
      <c r="O618" s="3"/>
      <c r="P618" s="3"/>
      <c r="Q618" s="9"/>
      <c r="R618" s="9"/>
      <c r="S618" s="10"/>
      <c r="T618" s="7"/>
      <c r="U618" s="7"/>
    </row>
    <row r="619" spans="1:22" x14ac:dyDescent="0.25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2"/>
      <c r="M619" s="2"/>
      <c r="N619" s="3"/>
      <c r="O619" s="3"/>
      <c r="P619" s="3"/>
      <c r="Q619" s="9"/>
      <c r="R619" s="9"/>
      <c r="S619" s="10"/>
      <c r="T619" s="7"/>
      <c r="U619" s="7"/>
    </row>
    <row r="620" spans="1:22" x14ac:dyDescent="0.25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2"/>
      <c r="M620" s="2"/>
      <c r="N620" s="3"/>
      <c r="O620" s="3"/>
      <c r="P620" s="3"/>
      <c r="Q620" s="9"/>
      <c r="R620" s="9"/>
      <c r="S620" s="10"/>
      <c r="T620" s="7"/>
      <c r="U620" s="7"/>
    </row>
    <row r="621" spans="1:22" x14ac:dyDescent="0.25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2"/>
      <c r="M621" s="2"/>
      <c r="N621" s="3"/>
      <c r="O621" s="3"/>
      <c r="P621" s="3"/>
      <c r="Q621" s="9"/>
      <c r="R621" s="9"/>
      <c r="S621" s="10"/>
      <c r="T621" s="7"/>
      <c r="U621" s="7"/>
    </row>
    <row r="622" spans="1:22" x14ac:dyDescent="0.25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2"/>
      <c r="M622" s="2"/>
      <c r="N622" s="3"/>
      <c r="O622" s="3"/>
      <c r="P622" s="3"/>
      <c r="Q622" s="9"/>
      <c r="R622" s="9"/>
      <c r="S622" s="10"/>
      <c r="T622" s="7"/>
      <c r="U622" s="7"/>
    </row>
    <row r="623" spans="1:22" x14ac:dyDescent="0.25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2"/>
      <c r="M623" s="2"/>
      <c r="N623" s="3"/>
      <c r="O623" s="3"/>
      <c r="P623" s="3"/>
      <c r="Q623" s="9"/>
      <c r="R623" s="9"/>
      <c r="S623" s="10"/>
      <c r="T623" s="7"/>
      <c r="U623" s="7"/>
    </row>
    <row r="624" spans="1:22" x14ac:dyDescent="0.25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2"/>
      <c r="M624" s="2"/>
      <c r="N624" s="3"/>
      <c r="O624" s="3"/>
      <c r="P624" s="3"/>
      <c r="Q624" s="9"/>
      <c r="R624" s="9"/>
      <c r="S624" s="10"/>
      <c r="T624" s="7"/>
      <c r="U624" s="7"/>
    </row>
    <row r="625" spans="1:21" x14ac:dyDescent="0.25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2"/>
      <c r="M625" s="2"/>
      <c r="N625" s="3"/>
      <c r="O625" s="3"/>
      <c r="P625" s="3"/>
      <c r="Q625" s="9"/>
      <c r="R625" s="9"/>
      <c r="S625" s="10"/>
      <c r="T625" s="7"/>
      <c r="U625" s="7"/>
    </row>
    <row r="626" spans="1:21" x14ac:dyDescent="0.25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2"/>
      <c r="M626" s="2"/>
      <c r="N626" s="3"/>
      <c r="O626" s="3"/>
      <c r="P626" s="3"/>
      <c r="Q626" s="9"/>
      <c r="R626" s="9"/>
      <c r="S626" s="10"/>
      <c r="T626" s="7"/>
      <c r="U626" s="7"/>
    </row>
    <row r="627" spans="1:21" x14ac:dyDescent="0.25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2"/>
      <c r="M627" s="2"/>
      <c r="N627" s="3"/>
      <c r="O627" s="3"/>
      <c r="P627" s="3"/>
      <c r="Q627" s="9"/>
      <c r="R627" s="9"/>
      <c r="S627" s="10"/>
      <c r="T627" s="7"/>
      <c r="U627" s="7"/>
    </row>
    <row r="628" spans="1:21" x14ac:dyDescent="0.25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2"/>
      <c r="M628" s="2"/>
      <c r="N628" s="3"/>
      <c r="O628" s="3"/>
      <c r="P628" s="3"/>
      <c r="Q628" s="9"/>
      <c r="R628" s="9"/>
      <c r="S628" s="10"/>
      <c r="T628" s="7"/>
      <c r="U628" s="7"/>
    </row>
    <row r="629" spans="1:21" x14ac:dyDescent="0.25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2"/>
      <c r="M629" s="2"/>
      <c r="N629" s="3"/>
      <c r="O629" s="3"/>
      <c r="P629" s="3"/>
      <c r="Q629" s="9"/>
      <c r="R629" s="9"/>
      <c r="S629" s="10"/>
      <c r="T629" s="7"/>
      <c r="U629" s="7"/>
    </row>
    <row r="630" spans="1:21" x14ac:dyDescent="0.25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2"/>
      <c r="M630" s="2"/>
      <c r="N630" s="3"/>
      <c r="O630" s="3"/>
      <c r="P630" s="3"/>
      <c r="Q630" s="9"/>
      <c r="R630" s="9"/>
      <c r="S630" s="10"/>
      <c r="T630" s="7"/>
      <c r="U630" s="7"/>
    </row>
    <row r="631" spans="1:21" x14ac:dyDescent="0.25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2"/>
      <c r="M631" s="2"/>
      <c r="N631" s="3"/>
      <c r="O631" s="3"/>
      <c r="P631" s="3"/>
      <c r="Q631" s="9"/>
      <c r="R631" s="9"/>
      <c r="S631" s="10"/>
      <c r="T631" s="7"/>
      <c r="U631" s="7"/>
    </row>
    <row r="632" spans="1:21" x14ac:dyDescent="0.25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2"/>
      <c r="M632" s="2"/>
      <c r="N632" s="3"/>
      <c r="O632" s="3"/>
      <c r="P632" s="3"/>
      <c r="Q632" s="9"/>
      <c r="R632" s="9"/>
      <c r="S632" s="10"/>
      <c r="T632" s="7"/>
      <c r="U632" s="7"/>
    </row>
    <row r="633" spans="1:21" x14ac:dyDescent="0.25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2"/>
      <c r="M633" s="2"/>
      <c r="N633" s="3"/>
      <c r="O633" s="3"/>
      <c r="P633" s="3"/>
      <c r="Q633" s="9"/>
      <c r="R633" s="9"/>
      <c r="S633" s="10"/>
      <c r="T633" s="7"/>
      <c r="U633" s="7"/>
    </row>
    <row r="634" spans="1:21" x14ac:dyDescent="0.25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2"/>
      <c r="M634" s="2"/>
      <c r="N634" s="3"/>
      <c r="O634" s="3"/>
      <c r="P634" s="3"/>
      <c r="Q634" s="9"/>
      <c r="R634" s="9"/>
      <c r="S634" s="10"/>
      <c r="T634" s="7"/>
      <c r="U634" s="7"/>
    </row>
    <row r="635" spans="1:21" x14ac:dyDescent="0.25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2"/>
      <c r="M635" s="2"/>
      <c r="N635" s="3"/>
      <c r="O635" s="3"/>
      <c r="P635" s="3"/>
      <c r="Q635" s="9"/>
      <c r="R635" s="9"/>
      <c r="S635" s="10"/>
      <c r="T635" s="7"/>
      <c r="U635" s="7"/>
    </row>
    <row r="636" spans="1:21" x14ac:dyDescent="0.25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2"/>
      <c r="M636" s="2"/>
      <c r="N636" s="3"/>
      <c r="O636" s="3"/>
      <c r="P636" s="3"/>
      <c r="Q636" s="9"/>
      <c r="R636" s="9"/>
      <c r="S636" s="10"/>
      <c r="T636" s="7"/>
      <c r="U636" s="7"/>
    </row>
    <row r="637" spans="1:21" x14ac:dyDescent="0.25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2"/>
      <c r="M637" s="2"/>
      <c r="N637" s="2"/>
      <c r="O637" s="2"/>
      <c r="P637" s="2"/>
      <c r="Q637" s="9"/>
      <c r="R637" s="7"/>
      <c r="S637" s="10"/>
      <c r="T637" s="7"/>
      <c r="U637" s="7"/>
    </row>
    <row r="638" spans="1:21" x14ac:dyDescent="0.25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2"/>
      <c r="M638" s="2"/>
      <c r="N638" s="2"/>
      <c r="O638" s="2"/>
      <c r="P638" s="2"/>
      <c r="Q638" s="9"/>
      <c r="R638" s="7"/>
      <c r="S638" s="10"/>
      <c r="T638" s="7"/>
      <c r="U638" s="7"/>
    </row>
    <row r="639" spans="1:21" x14ac:dyDescent="0.25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2"/>
      <c r="M639" s="2"/>
      <c r="N639" s="2"/>
      <c r="O639" s="2"/>
      <c r="P639" s="2"/>
      <c r="Q639" s="9"/>
      <c r="R639" s="7"/>
      <c r="S639" s="10"/>
      <c r="T639" s="7"/>
      <c r="U639" s="7"/>
    </row>
    <row r="640" spans="1:21" x14ac:dyDescent="0.25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2"/>
      <c r="M640" s="2"/>
      <c r="N640" s="2"/>
      <c r="O640" s="2"/>
      <c r="P640" s="2"/>
      <c r="Q640" s="9"/>
      <c r="R640" s="7"/>
      <c r="S640" s="10"/>
      <c r="T640" s="7"/>
      <c r="U640" s="7"/>
    </row>
    <row r="641" spans="1:21" x14ac:dyDescent="0.25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2"/>
      <c r="M641" s="2"/>
      <c r="N641" s="2"/>
      <c r="O641" s="2"/>
      <c r="P641" s="2"/>
      <c r="Q641" s="9"/>
      <c r="R641" s="7"/>
      <c r="S641" s="10"/>
      <c r="T641" s="7"/>
      <c r="U641" s="7"/>
    </row>
    <row r="642" spans="1:21" x14ac:dyDescent="0.25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2"/>
      <c r="M642" s="2"/>
      <c r="N642" s="2"/>
      <c r="O642" s="2"/>
      <c r="P642" s="2"/>
      <c r="Q642" s="9"/>
      <c r="R642" s="7"/>
      <c r="S642" s="10"/>
      <c r="T642" s="7"/>
      <c r="U642" s="7"/>
    </row>
    <row r="643" spans="1:21" x14ac:dyDescent="0.25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2"/>
      <c r="M643" s="2"/>
      <c r="N643" s="2"/>
      <c r="O643" s="2"/>
      <c r="P643" s="2"/>
      <c r="Q643" s="9"/>
      <c r="R643" s="7"/>
      <c r="S643" s="10"/>
      <c r="T643" s="7"/>
      <c r="U643" s="7"/>
    </row>
    <row r="644" spans="1:21" x14ac:dyDescent="0.25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2"/>
      <c r="M644" s="2"/>
      <c r="N644" s="2"/>
      <c r="O644" s="2"/>
      <c r="P644" s="2"/>
      <c r="Q644" s="9"/>
      <c r="R644" s="7"/>
      <c r="S644" s="10"/>
      <c r="T644" s="7"/>
      <c r="U644" s="7"/>
    </row>
    <row r="645" spans="1:21" x14ac:dyDescent="0.25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2"/>
      <c r="M645" s="2"/>
      <c r="N645" s="2"/>
      <c r="O645" s="2"/>
      <c r="P645" s="2"/>
      <c r="Q645" s="9"/>
      <c r="R645" s="7"/>
      <c r="S645" s="10"/>
      <c r="T645" s="7"/>
      <c r="U645" s="7"/>
    </row>
    <row r="646" spans="1:21" x14ac:dyDescent="0.25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2"/>
      <c r="M646" s="2"/>
      <c r="N646" s="2"/>
      <c r="O646" s="2"/>
      <c r="P646" s="2"/>
      <c r="Q646" s="9"/>
      <c r="R646" s="7"/>
      <c r="S646" s="10"/>
      <c r="T646" s="7"/>
      <c r="U646" s="7"/>
    </row>
    <row r="647" spans="1:21" x14ac:dyDescent="0.25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2"/>
      <c r="M647" s="2"/>
      <c r="N647" s="2"/>
      <c r="O647" s="2"/>
      <c r="P647" s="2"/>
      <c r="Q647" s="9"/>
      <c r="R647" s="7"/>
      <c r="S647" s="10"/>
      <c r="T647" s="7"/>
      <c r="U647" s="7"/>
    </row>
    <row r="648" spans="1:21" x14ac:dyDescent="0.25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2"/>
      <c r="M648" s="2"/>
      <c r="N648" s="2"/>
      <c r="O648" s="2"/>
      <c r="P648" s="2"/>
      <c r="Q648" s="9"/>
      <c r="R648" s="7"/>
      <c r="S648" s="10"/>
      <c r="T648" s="7"/>
      <c r="U648" s="7"/>
    </row>
    <row r="649" spans="1:21" x14ac:dyDescent="0.25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2"/>
      <c r="M649" s="2"/>
      <c r="N649" s="2"/>
      <c r="O649" s="2"/>
      <c r="P649" s="2"/>
      <c r="Q649" s="9"/>
      <c r="R649" s="7"/>
      <c r="S649" s="10"/>
      <c r="T649" s="7"/>
      <c r="U649" s="7"/>
    </row>
    <row r="650" spans="1:21" x14ac:dyDescent="0.25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2"/>
      <c r="M650" s="2"/>
      <c r="N650" s="2"/>
      <c r="O650" s="2"/>
      <c r="P650" s="2"/>
      <c r="Q650" s="9"/>
      <c r="R650" s="7"/>
      <c r="S650" s="10"/>
      <c r="T650" s="7"/>
      <c r="U650" s="7"/>
    </row>
    <row r="651" spans="1:21" x14ac:dyDescent="0.25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2"/>
      <c r="M651" s="2"/>
      <c r="N651" s="2"/>
      <c r="O651" s="2"/>
      <c r="P651" s="2"/>
      <c r="Q651" s="9"/>
      <c r="R651" s="7"/>
      <c r="S651" s="10"/>
      <c r="T651" s="7"/>
      <c r="U651" s="7"/>
    </row>
    <row r="652" spans="1:21" x14ac:dyDescent="0.25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2"/>
      <c r="M652" s="2"/>
      <c r="N652" s="2"/>
      <c r="O652" s="2"/>
      <c r="P652" s="2"/>
      <c r="Q652" s="9"/>
      <c r="R652" s="7"/>
      <c r="S652" s="10"/>
      <c r="T652" s="7"/>
      <c r="U652" s="7"/>
    </row>
    <row r="653" spans="1:21" x14ac:dyDescent="0.25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2"/>
      <c r="M653" s="2"/>
      <c r="N653" s="2"/>
      <c r="O653" s="2"/>
      <c r="P653" s="2"/>
      <c r="Q653" s="9"/>
      <c r="R653" s="7"/>
      <c r="S653" s="10"/>
      <c r="T653" s="7"/>
      <c r="U653" s="7"/>
    </row>
    <row r="654" spans="1:21" x14ac:dyDescent="0.25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2"/>
      <c r="M654" s="2"/>
      <c r="N654" s="2"/>
      <c r="O654" s="2"/>
      <c r="P654" s="2"/>
      <c r="Q654" s="9"/>
      <c r="R654" s="7"/>
      <c r="S654" s="10"/>
      <c r="T654" s="7"/>
      <c r="U654" s="7"/>
    </row>
    <row r="655" spans="1:21" x14ac:dyDescent="0.25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2"/>
      <c r="M655" s="2"/>
      <c r="N655" s="2"/>
      <c r="O655" s="2"/>
      <c r="P655" s="2"/>
      <c r="Q655" s="9"/>
      <c r="R655" s="7"/>
      <c r="S655" s="10"/>
      <c r="T655" s="7"/>
      <c r="U655" s="7"/>
    </row>
    <row r="656" spans="1:21" x14ac:dyDescent="0.25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2"/>
      <c r="M656" s="2"/>
      <c r="N656" s="2"/>
      <c r="O656" s="2"/>
      <c r="P656" s="2"/>
      <c r="Q656" s="9"/>
      <c r="R656" s="7"/>
      <c r="S656" s="10"/>
      <c r="T656" s="7"/>
      <c r="U656" s="7"/>
    </row>
    <row r="657" spans="1:21" x14ac:dyDescent="0.25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2"/>
      <c r="M657" s="2"/>
      <c r="N657" s="2"/>
      <c r="O657" s="2"/>
      <c r="P657" s="2"/>
      <c r="Q657" s="9"/>
      <c r="R657" s="7"/>
      <c r="S657" s="10"/>
      <c r="T657" s="7"/>
      <c r="U657" s="7"/>
    </row>
    <row r="658" spans="1:21" x14ac:dyDescent="0.25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2"/>
      <c r="M658" s="2"/>
      <c r="N658" s="2"/>
      <c r="O658" s="2"/>
      <c r="P658" s="2"/>
      <c r="Q658" s="9"/>
      <c r="R658" s="7"/>
      <c r="S658" s="10"/>
      <c r="T658" s="7"/>
      <c r="U658" s="7"/>
    </row>
    <row r="659" spans="1:21" x14ac:dyDescent="0.25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2"/>
      <c r="M659" s="2"/>
      <c r="N659" s="2"/>
      <c r="O659" s="2"/>
      <c r="P659" s="2"/>
      <c r="Q659" s="9"/>
      <c r="R659" s="7"/>
      <c r="S659" s="10"/>
      <c r="T659" s="7"/>
      <c r="U659" s="7"/>
    </row>
    <row r="660" spans="1:21" x14ac:dyDescent="0.25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2"/>
      <c r="M660" s="2"/>
      <c r="N660" s="2"/>
      <c r="O660" s="2"/>
      <c r="P660" s="2"/>
      <c r="Q660" s="9"/>
      <c r="R660" s="7"/>
      <c r="S660" s="10"/>
      <c r="T660" s="7"/>
      <c r="U660" s="7"/>
    </row>
    <row r="661" spans="1:21" x14ac:dyDescent="0.25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2"/>
      <c r="M661" s="2"/>
      <c r="N661" s="2"/>
      <c r="O661" s="2"/>
      <c r="P661" s="2"/>
      <c r="Q661" s="9"/>
      <c r="R661" s="7"/>
      <c r="S661" s="10"/>
      <c r="T661" s="7"/>
      <c r="U661" s="7"/>
    </row>
    <row r="662" spans="1:21" x14ac:dyDescent="0.25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2"/>
      <c r="M662" s="2"/>
      <c r="N662" s="2"/>
      <c r="O662" s="2"/>
      <c r="P662" s="2"/>
      <c r="Q662" s="9"/>
      <c r="R662" s="7"/>
      <c r="S662" s="10"/>
      <c r="T662" s="7"/>
      <c r="U662" s="7"/>
    </row>
    <row r="663" spans="1:21" x14ac:dyDescent="0.25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2"/>
      <c r="M663" s="2"/>
      <c r="N663" s="2"/>
      <c r="O663" s="2"/>
      <c r="P663" s="2"/>
      <c r="Q663" s="9"/>
      <c r="R663" s="7"/>
      <c r="S663" s="10"/>
      <c r="T663" s="7"/>
      <c r="U663" s="7"/>
    </row>
    <row r="664" spans="1:21" x14ac:dyDescent="0.25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2"/>
      <c r="M664" s="2"/>
      <c r="N664" s="2"/>
      <c r="O664" s="2"/>
      <c r="P664" s="2"/>
      <c r="Q664" s="9"/>
      <c r="R664" s="7"/>
      <c r="S664" s="10"/>
      <c r="T664" s="7"/>
      <c r="U664" s="7"/>
    </row>
    <row r="665" spans="1:21" x14ac:dyDescent="0.25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2"/>
      <c r="M665" s="2"/>
      <c r="N665" s="2"/>
      <c r="O665" s="2"/>
      <c r="P665" s="2"/>
      <c r="Q665" s="9"/>
      <c r="R665" s="7"/>
      <c r="S665" s="10"/>
      <c r="T665" s="7"/>
      <c r="U665" s="7"/>
    </row>
    <row r="666" spans="1:21" x14ac:dyDescent="0.25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2"/>
      <c r="M666" s="2"/>
      <c r="N666" s="2"/>
      <c r="O666" s="2"/>
      <c r="P666" s="2"/>
      <c r="Q666" s="9"/>
      <c r="R666" s="7"/>
      <c r="S666" s="10"/>
      <c r="T666" s="7"/>
      <c r="U666" s="7"/>
    </row>
    <row r="667" spans="1:21" x14ac:dyDescent="0.25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2"/>
      <c r="M667" s="2"/>
      <c r="N667" s="2"/>
      <c r="O667" s="2"/>
      <c r="P667" s="2"/>
      <c r="Q667" s="9"/>
      <c r="R667" s="7"/>
      <c r="S667" s="10"/>
      <c r="T667" s="7"/>
      <c r="U667" s="7"/>
    </row>
    <row r="668" spans="1:21" x14ac:dyDescent="0.25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2"/>
      <c r="M668" s="2"/>
      <c r="N668" s="2"/>
      <c r="O668" s="2"/>
      <c r="P668" s="2"/>
      <c r="Q668" s="9"/>
      <c r="R668" s="7"/>
      <c r="S668" s="10"/>
      <c r="T668" s="7"/>
      <c r="U668" s="7"/>
    </row>
    <row r="669" spans="1:21" x14ac:dyDescent="0.25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2"/>
      <c r="M669" s="2"/>
      <c r="N669" s="2"/>
      <c r="O669" s="2"/>
      <c r="P669" s="2"/>
      <c r="Q669" s="9"/>
      <c r="R669" s="7"/>
      <c r="S669" s="10"/>
      <c r="T669" s="7"/>
      <c r="U669" s="7"/>
    </row>
    <row r="670" spans="1:21" x14ac:dyDescent="0.25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2"/>
      <c r="M670" s="2"/>
      <c r="N670" s="2"/>
      <c r="O670" s="2"/>
      <c r="P670" s="2"/>
      <c r="Q670" s="9"/>
      <c r="R670" s="7"/>
      <c r="S670" s="10"/>
      <c r="T670" s="7"/>
      <c r="U670" s="7"/>
    </row>
    <row r="671" spans="1:21" x14ac:dyDescent="0.25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2"/>
      <c r="M671" s="2"/>
      <c r="N671" s="2"/>
      <c r="O671" s="2"/>
      <c r="P671" s="2"/>
      <c r="Q671" s="9"/>
      <c r="R671" s="7"/>
      <c r="S671" s="10"/>
      <c r="T671" s="7"/>
      <c r="U671" s="7"/>
    </row>
    <row r="672" spans="1:21" x14ac:dyDescent="0.25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2"/>
      <c r="M672" s="2"/>
      <c r="N672" s="2"/>
      <c r="O672" s="2"/>
      <c r="P672" s="2"/>
      <c r="Q672" s="9"/>
      <c r="R672" s="7"/>
      <c r="S672" s="10"/>
      <c r="T672" s="7"/>
      <c r="U672" s="7"/>
    </row>
    <row r="673" spans="1:21" x14ac:dyDescent="0.25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2"/>
      <c r="M673" s="2"/>
      <c r="N673" s="2"/>
      <c r="O673" s="2"/>
      <c r="P673" s="2"/>
      <c r="Q673" s="9"/>
      <c r="R673" s="7"/>
      <c r="S673" s="10"/>
      <c r="T673" s="7"/>
      <c r="U673" s="7"/>
    </row>
    <row r="674" spans="1:21" x14ac:dyDescent="0.25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2"/>
      <c r="M674" s="2"/>
      <c r="N674" s="2"/>
      <c r="O674" s="2"/>
      <c r="P674" s="2"/>
      <c r="Q674" s="9"/>
      <c r="R674" s="7"/>
      <c r="S674" s="10"/>
      <c r="T674" s="7"/>
      <c r="U674" s="7"/>
    </row>
    <row r="675" spans="1:21" x14ac:dyDescent="0.25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2"/>
      <c r="M675" s="2"/>
      <c r="N675" s="2"/>
      <c r="O675" s="2"/>
      <c r="P675" s="2"/>
      <c r="Q675" s="9"/>
      <c r="R675" s="7"/>
      <c r="S675" s="10"/>
      <c r="T675" s="7"/>
      <c r="U675" s="7"/>
    </row>
    <row r="676" spans="1:21" x14ac:dyDescent="0.25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2"/>
      <c r="M676" s="2"/>
      <c r="N676" s="2"/>
      <c r="O676" s="2"/>
      <c r="P676" s="2"/>
      <c r="Q676" s="9"/>
      <c r="R676" s="7"/>
      <c r="S676" s="10"/>
      <c r="T676" s="7"/>
      <c r="U676" s="7"/>
    </row>
    <row r="677" spans="1:21" x14ac:dyDescent="0.25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2"/>
      <c r="M677" s="2"/>
      <c r="N677" s="2"/>
      <c r="O677" s="2"/>
      <c r="P677" s="2"/>
      <c r="Q677" s="9"/>
      <c r="R677" s="7"/>
      <c r="S677" s="10"/>
      <c r="T677" s="7"/>
      <c r="U677" s="7"/>
    </row>
    <row r="678" spans="1:21" x14ac:dyDescent="0.25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2"/>
      <c r="M678" s="2"/>
      <c r="N678" s="2"/>
      <c r="O678" s="2"/>
      <c r="P678" s="2"/>
      <c r="Q678" s="9"/>
      <c r="R678" s="7"/>
      <c r="S678" s="10"/>
      <c r="T678" s="7"/>
      <c r="U678" s="7"/>
    </row>
    <row r="679" spans="1:21" x14ac:dyDescent="0.25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2"/>
      <c r="M679" s="2"/>
      <c r="N679" s="2"/>
      <c r="O679" s="2"/>
      <c r="P679" s="2"/>
      <c r="Q679" s="9"/>
      <c r="R679" s="7"/>
      <c r="S679" s="10"/>
      <c r="T679" s="7"/>
      <c r="U679" s="7"/>
    </row>
    <row r="680" spans="1:21" x14ac:dyDescent="0.25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2"/>
      <c r="M680" s="2"/>
      <c r="N680" s="2"/>
      <c r="O680" s="2"/>
      <c r="P680" s="2"/>
      <c r="Q680" s="9"/>
      <c r="R680" s="7"/>
      <c r="S680" s="10"/>
      <c r="T680" s="7"/>
      <c r="U680" s="7"/>
    </row>
    <row r="681" spans="1:21" x14ac:dyDescent="0.25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2"/>
      <c r="M681" s="2"/>
      <c r="N681" s="2"/>
      <c r="O681" s="2"/>
      <c r="P681" s="2"/>
      <c r="Q681" s="9"/>
      <c r="R681" s="7"/>
      <c r="S681" s="10"/>
      <c r="T681" s="7"/>
      <c r="U681" s="7"/>
    </row>
    <row r="682" spans="1:21" x14ac:dyDescent="0.25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2"/>
      <c r="M682" s="2"/>
      <c r="N682" s="2"/>
      <c r="O682" s="2"/>
      <c r="P682" s="2"/>
      <c r="Q682" s="9"/>
      <c r="R682" s="7"/>
      <c r="S682" s="10"/>
      <c r="T682" s="7"/>
      <c r="U682" s="7"/>
    </row>
    <row r="683" spans="1:21" x14ac:dyDescent="0.25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2"/>
      <c r="M683" s="2"/>
      <c r="N683" s="2"/>
      <c r="O683" s="2"/>
      <c r="P683" s="2"/>
      <c r="Q683" s="9"/>
      <c r="R683" s="7"/>
      <c r="S683" s="10"/>
      <c r="T683" s="7"/>
      <c r="U683" s="7"/>
    </row>
    <row r="684" spans="1:21" x14ac:dyDescent="0.25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2"/>
      <c r="M684" s="2"/>
      <c r="N684" s="2"/>
      <c r="O684" s="2"/>
      <c r="P684" s="2"/>
      <c r="Q684" s="9"/>
      <c r="R684" s="7"/>
      <c r="S684" s="10"/>
      <c r="T684" s="7"/>
      <c r="U684" s="7"/>
    </row>
    <row r="685" spans="1:21" x14ac:dyDescent="0.25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2"/>
      <c r="M685" s="2"/>
      <c r="N685" s="2"/>
      <c r="O685" s="2"/>
      <c r="P685" s="2"/>
      <c r="Q685" s="9"/>
      <c r="R685" s="7"/>
      <c r="S685" s="10"/>
      <c r="T685" s="7"/>
      <c r="U685" s="7"/>
    </row>
    <row r="686" spans="1:21" x14ac:dyDescent="0.25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2"/>
      <c r="M686" s="2"/>
      <c r="N686" s="2"/>
      <c r="O686" s="2"/>
      <c r="P686" s="2"/>
      <c r="Q686" s="9"/>
      <c r="R686" s="7"/>
      <c r="S686" s="10"/>
      <c r="T686" s="7"/>
      <c r="U686" s="7"/>
    </row>
    <row r="687" spans="1:21" x14ac:dyDescent="0.25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2"/>
      <c r="M687" s="2"/>
      <c r="N687" s="2"/>
      <c r="O687" s="2"/>
      <c r="P687" s="2"/>
      <c r="Q687" s="9"/>
      <c r="R687" s="7"/>
      <c r="S687" s="10"/>
      <c r="T687" s="7"/>
      <c r="U687" s="7"/>
    </row>
    <row r="688" spans="1:21" x14ac:dyDescent="0.25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2"/>
      <c r="M688" s="2"/>
      <c r="N688" s="2"/>
      <c r="O688" s="2"/>
      <c r="P688" s="2"/>
      <c r="Q688" s="9"/>
      <c r="R688" s="7"/>
      <c r="S688" s="10"/>
      <c r="T688" s="7"/>
      <c r="U688" s="7"/>
    </row>
    <row r="689" spans="1:21" x14ac:dyDescent="0.25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2"/>
      <c r="M689" s="2"/>
      <c r="N689" s="2"/>
      <c r="O689" s="2"/>
      <c r="P689" s="2"/>
      <c r="Q689" s="9"/>
      <c r="R689" s="7"/>
      <c r="S689" s="10"/>
      <c r="T689" s="7"/>
      <c r="U689" s="7"/>
    </row>
    <row r="690" spans="1:21" x14ac:dyDescent="0.25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2"/>
      <c r="M690" s="2"/>
      <c r="N690" s="2"/>
      <c r="O690" s="2"/>
      <c r="P690" s="2"/>
      <c r="Q690" s="9"/>
      <c r="R690" s="7"/>
      <c r="S690" s="10"/>
      <c r="T690" s="7"/>
      <c r="U690" s="7"/>
    </row>
    <row r="691" spans="1:21" x14ac:dyDescent="0.25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2"/>
      <c r="M691" s="2"/>
      <c r="N691" s="2"/>
      <c r="O691" s="2"/>
      <c r="P691" s="2"/>
      <c r="Q691" s="9"/>
      <c r="R691" s="7"/>
      <c r="S691" s="10"/>
      <c r="T691" s="7"/>
      <c r="U691" s="7"/>
    </row>
    <row r="692" spans="1:21" x14ac:dyDescent="0.25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2"/>
      <c r="M692" s="2"/>
      <c r="N692" s="2"/>
      <c r="O692" s="2"/>
      <c r="P692" s="2"/>
      <c r="Q692" s="9"/>
      <c r="R692" s="7"/>
      <c r="S692" s="10"/>
      <c r="T692" s="7"/>
      <c r="U692" s="7"/>
    </row>
    <row r="693" spans="1:21" x14ac:dyDescent="0.25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2"/>
      <c r="M693" s="2"/>
      <c r="N693" s="2"/>
      <c r="O693" s="2"/>
      <c r="P693" s="2"/>
      <c r="Q693" s="9"/>
      <c r="R693" s="7"/>
      <c r="S693" s="10"/>
      <c r="T693" s="7"/>
      <c r="U693" s="7"/>
    </row>
    <row r="694" spans="1:21" x14ac:dyDescent="0.25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2"/>
      <c r="M694" s="2"/>
      <c r="N694" s="2"/>
      <c r="O694" s="2"/>
      <c r="P694" s="2"/>
      <c r="Q694" s="9"/>
      <c r="R694" s="7"/>
      <c r="S694" s="10"/>
      <c r="T694" s="7"/>
      <c r="U694" s="7"/>
    </row>
    <row r="695" spans="1:21" x14ac:dyDescent="0.25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2"/>
      <c r="M695" s="2"/>
      <c r="N695" s="2"/>
      <c r="O695" s="2"/>
      <c r="P695" s="2"/>
      <c r="Q695" s="9"/>
      <c r="R695" s="7"/>
      <c r="S695" s="10"/>
      <c r="T695" s="7"/>
      <c r="U695" s="7"/>
    </row>
    <row r="696" spans="1:21" x14ac:dyDescent="0.25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2"/>
      <c r="M696" s="2"/>
      <c r="N696" s="2"/>
      <c r="O696" s="2"/>
      <c r="P696" s="2"/>
      <c r="Q696" s="9"/>
      <c r="R696" s="7"/>
      <c r="S696" s="10"/>
      <c r="T696" s="7"/>
      <c r="U696" s="7"/>
    </row>
    <row r="697" spans="1:21" x14ac:dyDescent="0.25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2"/>
      <c r="M697" s="2"/>
      <c r="N697" s="2"/>
      <c r="O697" s="2"/>
      <c r="P697" s="2"/>
      <c r="Q697" s="9"/>
      <c r="R697" s="7"/>
      <c r="S697" s="10"/>
      <c r="T697" s="7"/>
      <c r="U697" s="7"/>
    </row>
    <row r="698" spans="1:21" x14ac:dyDescent="0.25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2"/>
      <c r="M698" s="2"/>
      <c r="N698" s="2"/>
      <c r="O698" s="2"/>
      <c r="P698" s="2"/>
      <c r="Q698" s="9"/>
      <c r="R698" s="7"/>
      <c r="S698" s="10"/>
      <c r="T698" s="7"/>
      <c r="U698" s="7"/>
    </row>
    <row r="699" spans="1:21" x14ac:dyDescent="0.25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2"/>
      <c r="M699" s="2"/>
      <c r="N699" s="2"/>
      <c r="O699" s="2"/>
      <c r="P699" s="2"/>
      <c r="Q699" s="9"/>
      <c r="R699" s="7"/>
      <c r="S699" s="10"/>
      <c r="T699" s="7"/>
      <c r="U699" s="7"/>
    </row>
    <row r="700" spans="1:21" x14ac:dyDescent="0.25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2"/>
      <c r="M700" s="2"/>
      <c r="N700" s="2"/>
      <c r="O700" s="2"/>
      <c r="P700" s="2"/>
      <c r="Q700" s="9"/>
      <c r="R700" s="7"/>
      <c r="S700" s="10"/>
      <c r="T700" s="7"/>
      <c r="U700" s="7"/>
    </row>
    <row r="701" spans="1:21" x14ac:dyDescent="0.25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2"/>
      <c r="M701" s="2"/>
      <c r="N701" s="2"/>
      <c r="O701" s="2"/>
      <c r="P701" s="2"/>
      <c r="Q701" s="9"/>
      <c r="R701" s="7"/>
      <c r="S701" s="10"/>
      <c r="T701" s="7"/>
      <c r="U701" s="7"/>
    </row>
    <row r="702" spans="1:21" x14ac:dyDescent="0.25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2"/>
      <c r="M702" s="2"/>
      <c r="N702" s="2"/>
      <c r="O702" s="2"/>
      <c r="P702" s="2"/>
      <c r="Q702" s="9"/>
      <c r="R702" s="7"/>
      <c r="S702" s="10"/>
      <c r="T702" s="7"/>
      <c r="U702" s="7"/>
    </row>
    <row r="703" spans="1:21" x14ac:dyDescent="0.25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2"/>
      <c r="M703" s="2"/>
      <c r="N703" s="2"/>
      <c r="O703" s="2"/>
      <c r="P703" s="2"/>
      <c r="Q703" s="9"/>
      <c r="R703" s="7"/>
      <c r="S703" s="10"/>
      <c r="T703" s="7"/>
      <c r="U703" s="7"/>
    </row>
    <row r="704" spans="1:21" x14ac:dyDescent="0.25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2"/>
      <c r="M704" s="2"/>
      <c r="N704" s="2"/>
      <c r="O704" s="2"/>
      <c r="P704" s="2"/>
      <c r="Q704" s="9"/>
      <c r="R704" s="7"/>
      <c r="S704" s="10"/>
      <c r="T704" s="7"/>
      <c r="U704" s="7"/>
    </row>
    <row r="705" spans="1:21" x14ac:dyDescent="0.25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2"/>
      <c r="M705" s="2"/>
      <c r="N705" s="2"/>
      <c r="O705" s="2"/>
      <c r="P705" s="2"/>
      <c r="Q705" s="9"/>
      <c r="R705" s="7"/>
      <c r="S705" s="10"/>
      <c r="T705" s="7"/>
      <c r="U705" s="7"/>
    </row>
    <row r="706" spans="1:21" x14ac:dyDescent="0.25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2"/>
      <c r="M706" s="2"/>
      <c r="N706" s="2"/>
      <c r="O706" s="2"/>
      <c r="P706" s="2"/>
      <c r="Q706" s="9"/>
      <c r="R706" s="7"/>
      <c r="S706" s="10"/>
      <c r="T706" s="7"/>
      <c r="U706" s="7"/>
    </row>
    <row r="707" spans="1:21" x14ac:dyDescent="0.25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2"/>
      <c r="M707" s="2"/>
      <c r="N707" s="2"/>
      <c r="O707" s="2"/>
      <c r="P707" s="2"/>
      <c r="Q707" s="9"/>
      <c r="R707" s="7"/>
      <c r="S707" s="10"/>
      <c r="T707" s="7"/>
      <c r="U707" s="7"/>
    </row>
    <row r="708" spans="1:21" x14ac:dyDescent="0.25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2"/>
      <c r="M708" s="2"/>
      <c r="N708" s="2"/>
      <c r="O708" s="2"/>
      <c r="P708" s="2"/>
      <c r="Q708" s="9"/>
      <c r="R708" s="7"/>
      <c r="S708" s="10"/>
      <c r="T708" s="7"/>
      <c r="U708" s="7"/>
    </row>
    <row r="709" spans="1:21" x14ac:dyDescent="0.25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2"/>
      <c r="M709" s="2"/>
      <c r="N709" s="2"/>
      <c r="O709" s="2"/>
      <c r="P709" s="2"/>
      <c r="Q709" s="9"/>
      <c r="R709" s="7"/>
      <c r="S709" s="10"/>
      <c r="T709" s="7"/>
      <c r="U709" s="7"/>
    </row>
    <row r="710" spans="1:21" x14ac:dyDescent="0.25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2"/>
      <c r="M710" s="2"/>
      <c r="N710" s="2"/>
      <c r="O710" s="2"/>
      <c r="P710" s="2"/>
      <c r="Q710" s="9"/>
      <c r="R710" s="7"/>
      <c r="S710" s="10"/>
      <c r="T710" s="7"/>
      <c r="U710" s="7"/>
    </row>
    <row r="711" spans="1:21" x14ac:dyDescent="0.25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2"/>
      <c r="M711" s="2"/>
      <c r="N711" s="2"/>
      <c r="O711" s="2"/>
      <c r="P711" s="2"/>
      <c r="Q711" s="9"/>
      <c r="R711" s="7"/>
      <c r="S711" s="10"/>
      <c r="T711" s="7"/>
      <c r="U711" s="7"/>
    </row>
    <row r="712" spans="1:21" x14ac:dyDescent="0.25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2"/>
      <c r="M712" s="2"/>
      <c r="N712" s="2"/>
      <c r="O712" s="2"/>
      <c r="P712" s="2"/>
      <c r="Q712" s="9"/>
      <c r="R712" s="7"/>
      <c r="S712" s="10"/>
      <c r="T712" s="7"/>
      <c r="U712" s="7"/>
    </row>
    <row r="713" spans="1:21" x14ac:dyDescent="0.25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2"/>
      <c r="M713" s="2"/>
      <c r="N713" s="2"/>
      <c r="O713" s="2"/>
      <c r="P713" s="2"/>
      <c r="Q713" s="9"/>
      <c r="R713" s="7"/>
      <c r="S713" s="10"/>
      <c r="T713" s="7"/>
      <c r="U713" s="7"/>
    </row>
    <row r="714" spans="1:21" x14ac:dyDescent="0.25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2"/>
      <c r="M714" s="2"/>
      <c r="N714" s="2"/>
      <c r="O714" s="2"/>
      <c r="P714" s="2"/>
      <c r="Q714" s="9"/>
      <c r="R714" s="7"/>
      <c r="S714" s="10"/>
      <c r="T714" s="7"/>
      <c r="U714" s="7"/>
    </row>
    <row r="715" spans="1:21" x14ac:dyDescent="0.25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2"/>
      <c r="M715" s="2"/>
      <c r="N715" s="2"/>
      <c r="O715" s="2"/>
      <c r="P715" s="2"/>
      <c r="Q715" s="9"/>
      <c r="R715" s="7"/>
      <c r="S715" s="10"/>
      <c r="T715" s="7"/>
      <c r="U715" s="7"/>
    </row>
    <row r="716" spans="1:21" x14ac:dyDescent="0.25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2"/>
      <c r="M716" s="2"/>
      <c r="N716" s="2"/>
      <c r="O716" s="2"/>
      <c r="P716" s="2"/>
      <c r="Q716" s="9"/>
      <c r="R716" s="7"/>
      <c r="S716" s="10"/>
      <c r="T716" s="7"/>
      <c r="U716" s="7"/>
    </row>
    <row r="717" spans="1:21" x14ac:dyDescent="0.25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2"/>
      <c r="M717" s="2"/>
      <c r="N717" s="3"/>
      <c r="O717" s="3"/>
      <c r="P717" s="3"/>
      <c r="Q717" s="9"/>
      <c r="R717" s="10"/>
      <c r="S717" s="11"/>
      <c r="T717" s="7"/>
      <c r="U717" s="7"/>
    </row>
    <row r="718" spans="1:21" x14ac:dyDescent="0.25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2"/>
      <c r="M718" s="2"/>
      <c r="N718" s="3"/>
      <c r="O718" s="3"/>
      <c r="P718" s="3"/>
      <c r="Q718" s="9"/>
      <c r="R718" s="10"/>
      <c r="S718" s="11"/>
      <c r="T718" s="7"/>
      <c r="U718" s="7"/>
    </row>
    <row r="719" spans="1:21" x14ac:dyDescent="0.25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2"/>
      <c r="M719" s="2"/>
      <c r="N719" s="3"/>
      <c r="O719" s="3"/>
      <c r="P719" s="3"/>
      <c r="Q719" s="9"/>
      <c r="R719" s="10"/>
      <c r="S719" s="11"/>
      <c r="T719" s="7"/>
      <c r="U719" s="7"/>
    </row>
    <row r="720" spans="1:21" x14ac:dyDescent="0.25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2"/>
      <c r="M720" s="2"/>
      <c r="N720" s="3"/>
      <c r="O720" s="3"/>
      <c r="P720" s="3"/>
      <c r="Q720" s="9"/>
      <c r="R720" s="10"/>
      <c r="S720" s="11"/>
      <c r="T720" s="7"/>
      <c r="U720" s="7"/>
    </row>
    <row r="721" spans="1:21" x14ac:dyDescent="0.25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2"/>
      <c r="M721" s="2"/>
      <c r="N721" s="3"/>
      <c r="O721" s="3"/>
      <c r="P721" s="3"/>
      <c r="Q721" s="9"/>
      <c r="R721" s="10"/>
      <c r="S721" s="11"/>
      <c r="T721" s="7"/>
      <c r="U721" s="7"/>
    </row>
    <row r="722" spans="1:21" x14ac:dyDescent="0.25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2"/>
      <c r="M722" s="2"/>
      <c r="N722" s="3"/>
      <c r="O722" s="3"/>
      <c r="P722" s="3"/>
      <c r="Q722" s="9"/>
      <c r="R722" s="10"/>
      <c r="S722" s="11"/>
      <c r="T722" s="7"/>
      <c r="U722" s="7"/>
    </row>
    <row r="723" spans="1:21" x14ac:dyDescent="0.25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2"/>
      <c r="M723" s="2"/>
      <c r="N723" s="3"/>
      <c r="O723" s="3"/>
      <c r="P723" s="3"/>
      <c r="Q723" s="9"/>
      <c r="R723" s="10"/>
      <c r="S723" s="11"/>
      <c r="T723" s="7"/>
      <c r="U723" s="7"/>
    </row>
    <row r="724" spans="1:21" x14ac:dyDescent="0.25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2"/>
      <c r="M724" s="2"/>
      <c r="N724" s="3"/>
      <c r="O724" s="3"/>
      <c r="P724" s="3"/>
      <c r="Q724" s="9"/>
      <c r="R724" s="10"/>
      <c r="S724" s="11"/>
      <c r="T724" s="7"/>
      <c r="U724" s="7"/>
    </row>
    <row r="725" spans="1:21" x14ac:dyDescent="0.25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2"/>
      <c r="M725" s="2"/>
      <c r="N725" s="3"/>
      <c r="O725" s="3"/>
      <c r="P725" s="3"/>
      <c r="Q725" s="9"/>
      <c r="R725" s="10"/>
      <c r="S725" s="11"/>
      <c r="T725" s="7"/>
      <c r="U725" s="7"/>
    </row>
    <row r="726" spans="1:21" x14ac:dyDescent="0.25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2"/>
      <c r="M726" s="2"/>
      <c r="N726" s="3"/>
      <c r="O726" s="3"/>
      <c r="P726" s="3"/>
      <c r="Q726" s="9"/>
      <c r="R726" s="10"/>
      <c r="S726" s="11"/>
      <c r="T726" s="7"/>
      <c r="U726" s="7"/>
    </row>
    <row r="727" spans="1:21" x14ac:dyDescent="0.25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2"/>
      <c r="M727" s="2"/>
      <c r="N727" s="3"/>
      <c r="O727" s="3"/>
      <c r="P727" s="3"/>
      <c r="Q727" s="9"/>
      <c r="R727" s="10"/>
      <c r="S727" s="11"/>
      <c r="T727" s="7"/>
      <c r="U727" s="7"/>
    </row>
    <row r="728" spans="1:21" x14ac:dyDescent="0.25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2"/>
      <c r="M728" s="2"/>
      <c r="N728" s="3"/>
      <c r="O728" s="3"/>
      <c r="P728" s="3"/>
      <c r="Q728" s="9"/>
      <c r="R728" s="10"/>
      <c r="S728" s="11"/>
      <c r="T728" s="7"/>
      <c r="U728" s="7"/>
    </row>
    <row r="729" spans="1:21" x14ac:dyDescent="0.25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2"/>
      <c r="M729" s="2"/>
      <c r="N729" s="3"/>
      <c r="O729" s="3"/>
      <c r="P729" s="3"/>
      <c r="Q729" s="9"/>
      <c r="R729" s="10"/>
      <c r="S729" s="11"/>
      <c r="T729" s="7"/>
      <c r="U729" s="7"/>
    </row>
    <row r="730" spans="1:21" x14ac:dyDescent="0.25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2"/>
      <c r="M730" s="2"/>
      <c r="N730" s="3"/>
      <c r="O730" s="3"/>
      <c r="P730" s="3"/>
      <c r="Q730" s="9"/>
      <c r="R730" s="10"/>
      <c r="S730" s="11"/>
      <c r="T730" s="7"/>
      <c r="U730" s="7"/>
    </row>
    <row r="731" spans="1:21" x14ac:dyDescent="0.25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2"/>
      <c r="M731" s="2"/>
      <c r="N731" s="3"/>
      <c r="O731" s="3"/>
      <c r="P731" s="3"/>
      <c r="Q731" s="9"/>
      <c r="R731" s="10"/>
      <c r="S731" s="11"/>
      <c r="T731" s="7"/>
      <c r="U731" s="7"/>
    </row>
    <row r="732" spans="1:21" x14ac:dyDescent="0.25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2"/>
      <c r="M732" s="2"/>
      <c r="N732" s="3"/>
      <c r="O732" s="3"/>
      <c r="P732" s="3"/>
      <c r="Q732" s="9"/>
      <c r="R732" s="10"/>
      <c r="S732" s="11"/>
      <c r="T732" s="7"/>
      <c r="U732" s="7"/>
    </row>
    <row r="733" spans="1:21" x14ac:dyDescent="0.25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2"/>
      <c r="M733" s="2"/>
      <c r="N733" s="3"/>
      <c r="O733" s="3"/>
      <c r="P733" s="3"/>
      <c r="Q733" s="9"/>
      <c r="R733" s="10"/>
      <c r="S733" s="11"/>
      <c r="T733" s="7"/>
      <c r="U733" s="7"/>
    </row>
    <row r="734" spans="1:21" x14ac:dyDescent="0.25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2"/>
      <c r="M734" s="2"/>
      <c r="N734" s="3"/>
      <c r="O734" s="3"/>
      <c r="P734" s="3"/>
      <c r="Q734" s="9"/>
      <c r="R734" s="10"/>
      <c r="S734" s="11"/>
      <c r="T734" s="7"/>
      <c r="U734" s="7"/>
    </row>
    <row r="735" spans="1:21" x14ac:dyDescent="0.25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2"/>
      <c r="M735" s="2"/>
      <c r="N735" s="3"/>
      <c r="O735" s="3"/>
      <c r="P735" s="3"/>
      <c r="Q735" s="9"/>
      <c r="R735" s="10"/>
      <c r="S735" s="11"/>
      <c r="T735" s="7"/>
      <c r="U735" s="7"/>
    </row>
    <row r="736" spans="1:21" x14ac:dyDescent="0.25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2"/>
      <c r="M736" s="2"/>
      <c r="N736" s="3"/>
      <c r="O736" s="3"/>
      <c r="P736" s="3"/>
      <c r="Q736" s="9"/>
      <c r="R736" s="10"/>
      <c r="S736" s="11"/>
      <c r="T736" s="7"/>
      <c r="U736" s="7"/>
    </row>
    <row r="737" spans="1:21" x14ac:dyDescent="0.25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2"/>
      <c r="M737" s="2"/>
      <c r="N737" s="3"/>
      <c r="O737" s="3"/>
      <c r="P737" s="3"/>
      <c r="Q737" s="9"/>
      <c r="R737" s="10"/>
      <c r="S737" s="11"/>
      <c r="T737" s="7"/>
      <c r="U737" s="7"/>
    </row>
    <row r="738" spans="1:21" x14ac:dyDescent="0.25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2"/>
      <c r="M738" s="2"/>
      <c r="N738" s="3"/>
      <c r="O738" s="3"/>
      <c r="P738" s="3"/>
      <c r="Q738" s="9"/>
      <c r="R738" s="10"/>
      <c r="S738" s="11"/>
      <c r="T738" s="7"/>
      <c r="U738" s="7"/>
    </row>
    <row r="739" spans="1:21" x14ac:dyDescent="0.25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2"/>
      <c r="M739" s="2"/>
      <c r="N739" s="3"/>
      <c r="O739" s="3"/>
      <c r="P739" s="3"/>
      <c r="Q739" s="9"/>
      <c r="R739" s="10"/>
      <c r="S739" s="11"/>
      <c r="T739" s="7"/>
      <c r="U739" s="7"/>
    </row>
    <row r="740" spans="1:21" x14ac:dyDescent="0.25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2"/>
      <c r="M740" s="2"/>
      <c r="N740" s="3"/>
      <c r="O740" s="3"/>
      <c r="P740" s="3"/>
      <c r="Q740" s="9"/>
      <c r="R740" s="10"/>
      <c r="S740" s="11"/>
      <c r="T740" s="7"/>
      <c r="U740" s="7"/>
    </row>
    <row r="741" spans="1:21" x14ac:dyDescent="0.25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2"/>
      <c r="M741" s="2"/>
      <c r="N741" s="3"/>
      <c r="O741" s="3"/>
      <c r="P741" s="3"/>
      <c r="Q741" s="9"/>
      <c r="R741" s="10"/>
      <c r="S741" s="11"/>
      <c r="T741" s="7"/>
      <c r="U741" s="7"/>
    </row>
    <row r="742" spans="1:21" x14ac:dyDescent="0.25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2"/>
      <c r="M742" s="2"/>
      <c r="N742" s="3"/>
      <c r="O742" s="3"/>
      <c r="P742" s="3"/>
      <c r="Q742" s="9"/>
      <c r="R742" s="10"/>
      <c r="S742" s="11"/>
      <c r="T742" s="7"/>
      <c r="U742" s="7"/>
    </row>
    <row r="743" spans="1:21" x14ac:dyDescent="0.25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2"/>
      <c r="M743" s="2"/>
      <c r="N743" s="3"/>
      <c r="O743" s="3"/>
      <c r="P743" s="3"/>
      <c r="Q743" s="9"/>
      <c r="R743" s="10"/>
      <c r="S743" s="11"/>
      <c r="T743" s="7"/>
      <c r="U743" s="7"/>
    </row>
    <row r="744" spans="1:21" x14ac:dyDescent="0.25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2"/>
      <c r="M744" s="2"/>
      <c r="N744" s="3"/>
      <c r="O744" s="3"/>
      <c r="P744" s="3"/>
      <c r="Q744" s="9"/>
      <c r="R744" s="10"/>
      <c r="S744" s="11"/>
      <c r="T744" s="7"/>
      <c r="U744" s="7"/>
    </row>
    <row r="745" spans="1:21" x14ac:dyDescent="0.25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2"/>
      <c r="M745" s="2"/>
      <c r="N745" s="3"/>
      <c r="O745" s="3"/>
      <c r="P745" s="3"/>
      <c r="Q745" s="9"/>
      <c r="R745" s="10"/>
      <c r="S745" s="11"/>
      <c r="T745" s="7"/>
      <c r="U745" s="7"/>
    </row>
    <row r="746" spans="1:21" x14ac:dyDescent="0.25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2"/>
      <c r="M746" s="2"/>
      <c r="N746" s="3"/>
      <c r="O746" s="3"/>
      <c r="P746" s="3"/>
      <c r="Q746" s="9"/>
      <c r="R746" s="10"/>
      <c r="S746" s="11"/>
      <c r="T746" s="7"/>
      <c r="U746" s="7"/>
    </row>
    <row r="747" spans="1:21" x14ac:dyDescent="0.25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2"/>
      <c r="M747" s="2"/>
      <c r="N747" s="3"/>
      <c r="O747" s="3"/>
      <c r="P747" s="3"/>
      <c r="Q747" s="9"/>
      <c r="R747" s="10"/>
      <c r="S747" s="11"/>
      <c r="T747" s="7"/>
      <c r="U747" s="7"/>
    </row>
    <row r="748" spans="1:21" x14ac:dyDescent="0.25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2"/>
      <c r="M748" s="2"/>
      <c r="N748" s="3"/>
      <c r="O748" s="3"/>
      <c r="P748" s="3"/>
      <c r="Q748" s="9"/>
      <c r="R748" s="10"/>
      <c r="S748" s="11"/>
      <c r="T748" s="7"/>
      <c r="U748" s="7"/>
    </row>
    <row r="749" spans="1:21" x14ac:dyDescent="0.25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2"/>
      <c r="M749" s="2"/>
      <c r="N749" s="3"/>
      <c r="O749" s="3"/>
      <c r="P749" s="3"/>
      <c r="Q749" s="9"/>
      <c r="R749" s="10"/>
      <c r="S749" s="11"/>
      <c r="T749" s="7"/>
      <c r="U749" s="7"/>
    </row>
    <row r="750" spans="1:21" x14ac:dyDescent="0.25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2"/>
      <c r="M750" s="2"/>
      <c r="N750" s="3"/>
      <c r="O750" s="3"/>
      <c r="P750" s="3"/>
      <c r="Q750" s="9"/>
      <c r="R750" s="10"/>
      <c r="S750" s="11"/>
      <c r="T750" s="7"/>
      <c r="U750" s="7"/>
    </row>
    <row r="751" spans="1:21" x14ac:dyDescent="0.25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2"/>
      <c r="M751" s="2"/>
      <c r="N751" s="3"/>
      <c r="O751" s="3"/>
      <c r="P751" s="3"/>
      <c r="Q751" s="9"/>
      <c r="R751" s="10"/>
      <c r="S751" s="11"/>
      <c r="T751" s="7"/>
      <c r="U751" s="7"/>
    </row>
    <row r="752" spans="1:21" x14ac:dyDescent="0.25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2"/>
      <c r="M752" s="2"/>
      <c r="N752" s="3"/>
      <c r="O752" s="3"/>
      <c r="P752" s="3"/>
      <c r="Q752" s="9"/>
      <c r="R752" s="10"/>
      <c r="S752" s="11"/>
      <c r="T752" s="7"/>
      <c r="U752" s="7"/>
    </row>
    <row r="753" spans="1:21" x14ac:dyDescent="0.25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2"/>
      <c r="M753" s="2"/>
      <c r="N753" s="3"/>
      <c r="O753" s="3"/>
      <c r="P753" s="3"/>
      <c r="Q753" s="9"/>
      <c r="R753" s="10"/>
      <c r="S753" s="11"/>
      <c r="T753" s="7"/>
      <c r="U753" s="7"/>
    </row>
    <row r="754" spans="1:21" x14ac:dyDescent="0.25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2"/>
      <c r="M754" s="2"/>
      <c r="N754" s="3"/>
      <c r="O754" s="3"/>
      <c r="P754" s="3"/>
      <c r="Q754" s="9"/>
      <c r="R754" s="10"/>
      <c r="S754" s="11"/>
      <c r="T754" s="7"/>
      <c r="U754" s="7"/>
    </row>
    <row r="755" spans="1:21" x14ac:dyDescent="0.25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2"/>
      <c r="M755" s="2"/>
      <c r="N755" s="3"/>
      <c r="O755" s="3"/>
      <c r="P755" s="3"/>
      <c r="Q755" s="9"/>
      <c r="R755" s="10"/>
      <c r="S755" s="11"/>
      <c r="T755" s="7"/>
      <c r="U755" s="7"/>
    </row>
    <row r="756" spans="1:21" x14ac:dyDescent="0.25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2"/>
      <c r="M756" s="2"/>
      <c r="N756" s="3"/>
      <c r="O756" s="3"/>
      <c r="P756" s="3"/>
      <c r="Q756" s="9"/>
      <c r="R756" s="10"/>
      <c r="S756" s="11"/>
      <c r="T756" s="7"/>
      <c r="U756" s="7"/>
    </row>
    <row r="757" spans="1:21" x14ac:dyDescent="0.25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2"/>
      <c r="M757" s="2"/>
      <c r="N757" s="3"/>
      <c r="O757" s="3"/>
      <c r="P757" s="3"/>
      <c r="Q757" s="9"/>
      <c r="R757" s="10"/>
      <c r="S757" s="11"/>
      <c r="T757" s="7"/>
      <c r="U757" s="7"/>
    </row>
    <row r="758" spans="1:21" x14ac:dyDescent="0.25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2"/>
      <c r="M758" s="2"/>
      <c r="N758" s="3"/>
      <c r="O758" s="3"/>
      <c r="P758" s="3"/>
      <c r="Q758" s="9"/>
      <c r="R758" s="10"/>
      <c r="S758" s="11"/>
      <c r="T758" s="7"/>
      <c r="U758" s="7"/>
    </row>
    <row r="759" spans="1:21" x14ac:dyDescent="0.25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2"/>
      <c r="M759" s="2"/>
      <c r="N759" s="3"/>
      <c r="O759" s="3"/>
      <c r="P759" s="3"/>
      <c r="Q759" s="9"/>
      <c r="R759" s="10"/>
      <c r="S759" s="11"/>
      <c r="T759" s="7"/>
      <c r="U759" s="7"/>
    </row>
    <row r="760" spans="1:21" x14ac:dyDescent="0.25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2"/>
      <c r="M760" s="2"/>
      <c r="N760" s="3"/>
      <c r="O760" s="3"/>
      <c r="P760" s="3"/>
      <c r="Q760" s="9"/>
      <c r="R760" s="10"/>
      <c r="S760" s="11"/>
      <c r="T760" s="7"/>
      <c r="U760" s="7"/>
    </row>
    <row r="761" spans="1:21" x14ac:dyDescent="0.25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2"/>
      <c r="M761" s="2"/>
      <c r="N761" s="3"/>
      <c r="O761" s="3"/>
      <c r="P761" s="3"/>
      <c r="Q761" s="9"/>
      <c r="R761" s="10"/>
      <c r="S761" s="11"/>
      <c r="T761" s="7"/>
      <c r="U761" s="7"/>
    </row>
    <row r="762" spans="1:21" x14ac:dyDescent="0.25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2"/>
      <c r="M762" s="2"/>
      <c r="N762" s="3"/>
      <c r="O762" s="3"/>
      <c r="P762" s="3"/>
      <c r="Q762" s="9"/>
      <c r="R762" s="10"/>
      <c r="S762" s="11"/>
      <c r="T762" s="7"/>
      <c r="U762" s="7"/>
    </row>
    <row r="763" spans="1:21" x14ac:dyDescent="0.25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2"/>
      <c r="M763" s="2"/>
      <c r="N763" s="3"/>
      <c r="O763" s="3"/>
      <c r="P763" s="3"/>
      <c r="Q763" s="9"/>
      <c r="R763" s="10"/>
      <c r="S763" s="11"/>
      <c r="T763" s="7"/>
      <c r="U763" s="7"/>
    </row>
    <row r="764" spans="1:21" x14ac:dyDescent="0.25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2"/>
      <c r="M764" s="2"/>
      <c r="N764" s="3"/>
      <c r="O764" s="3"/>
      <c r="P764" s="3"/>
      <c r="Q764" s="9"/>
      <c r="R764" s="10"/>
      <c r="S764" s="11"/>
      <c r="T764" s="7"/>
      <c r="U764" s="7"/>
    </row>
    <row r="765" spans="1:21" x14ac:dyDescent="0.25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2"/>
      <c r="M765" s="2"/>
      <c r="N765" s="3"/>
      <c r="O765" s="3"/>
      <c r="P765" s="3"/>
      <c r="Q765" s="9"/>
      <c r="R765" s="10"/>
      <c r="S765" s="11"/>
      <c r="T765" s="7"/>
      <c r="U765" s="7"/>
    </row>
    <row r="766" spans="1:21" x14ac:dyDescent="0.25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2"/>
      <c r="M766" s="2"/>
      <c r="N766" s="3"/>
      <c r="O766" s="3"/>
      <c r="P766" s="3"/>
      <c r="Q766" s="9"/>
      <c r="R766" s="10"/>
      <c r="S766" s="11"/>
      <c r="T766" s="7"/>
      <c r="U766" s="7"/>
    </row>
    <row r="767" spans="1:21" x14ac:dyDescent="0.25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2"/>
      <c r="M767" s="2"/>
      <c r="N767" s="3"/>
      <c r="O767" s="3"/>
      <c r="P767" s="3"/>
      <c r="Q767" s="9"/>
      <c r="R767" s="10"/>
      <c r="S767" s="11"/>
      <c r="T767" s="7"/>
      <c r="U767" s="7"/>
    </row>
    <row r="768" spans="1:21" x14ac:dyDescent="0.25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2"/>
      <c r="M768" s="2"/>
      <c r="N768" s="3"/>
      <c r="O768" s="3"/>
      <c r="P768" s="3"/>
      <c r="Q768" s="9"/>
      <c r="R768" s="10"/>
      <c r="S768" s="11"/>
      <c r="T768" s="7"/>
      <c r="U768" s="7"/>
    </row>
    <row r="769" spans="1:21" x14ac:dyDescent="0.25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2"/>
      <c r="M769" s="2"/>
      <c r="N769" s="3"/>
      <c r="O769" s="3"/>
      <c r="P769" s="3"/>
      <c r="Q769" s="9"/>
      <c r="R769" s="10"/>
      <c r="S769" s="11"/>
      <c r="T769" s="7"/>
      <c r="U769" s="7"/>
    </row>
    <row r="770" spans="1:21" x14ac:dyDescent="0.25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2"/>
      <c r="M770" s="2"/>
      <c r="N770" s="3"/>
      <c r="O770" s="3"/>
      <c r="P770" s="3"/>
      <c r="Q770" s="9"/>
      <c r="R770" s="10"/>
      <c r="S770" s="11"/>
      <c r="T770" s="7"/>
      <c r="U770" s="7"/>
    </row>
    <row r="771" spans="1:21" x14ac:dyDescent="0.25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2"/>
      <c r="M771" s="2"/>
      <c r="N771" s="3"/>
      <c r="O771" s="3"/>
      <c r="P771" s="3"/>
      <c r="Q771" s="9"/>
      <c r="R771" s="10"/>
      <c r="S771" s="11"/>
      <c r="T771" s="7"/>
      <c r="U771" s="7"/>
    </row>
    <row r="772" spans="1:21" x14ac:dyDescent="0.25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2"/>
      <c r="M772" s="2"/>
      <c r="N772" s="3"/>
      <c r="O772" s="3"/>
      <c r="P772" s="3"/>
      <c r="Q772" s="9"/>
      <c r="R772" s="10"/>
      <c r="S772" s="11"/>
      <c r="T772" s="7"/>
      <c r="U772" s="7"/>
    </row>
    <row r="773" spans="1:21" x14ac:dyDescent="0.25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2"/>
      <c r="M773" s="2"/>
      <c r="N773" s="3"/>
      <c r="O773" s="3"/>
      <c r="P773" s="3"/>
      <c r="Q773" s="9"/>
      <c r="R773" s="10"/>
      <c r="S773" s="11"/>
      <c r="T773" s="7"/>
      <c r="U773" s="7"/>
    </row>
    <row r="774" spans="1:21" x14ac:dyDescent="0.25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2"/>
      <c r="M774" s="2"/>
      <c r="N774" s="3"/>
      <c r="O774" s="3"/>
      <c r="P774" s="3"/>
      <c r="Q774" s="9"/>
      <c r="R774" s="10"/>
      <c r="S774" s="11"/>
      <c r="T774" s="7"/>
      <c r="U774" s="7"/>
    </row>
    <row r="775" spans="1:21" x14ac:dyDescent="0.25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2"/>
      <c r="M775" s="2"/>
      <c r="N775" s="3"/>
      <c r="O775" s="3"/>
      <c r="P775" s="3"/>
      <c r="Q775" s="9"/>
      <c r="R775" s="10"/>
      <c r="S775" s="11"/>
      <c r="T775" s="7"/>
      <c r="U775" s="7"/>
    </row>
    <row r="776" spans="1:21" x14ac:dyDescent="0.25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2"/>
      <c r="M776" s="2"/>
      <c r="N776" s="3"/>
      <c r="O776" s="3"/>
      <c r="P776" s="3"/>
      <c r="Q776" s="9"/>
      <c r="R776" s="10"/>
      <c r="S776" s="11"/>
      <c r="T776" s="7"/>
      <c r="U776" s="7"/>
    </row>
    <row r="777" spans="1:21" x14ac:dyDescent="0.25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6"/>
      <c r="M777" s="6"/>
      <c r="N777" s="3"/>
      <c r="O777" s="3"/>
      <c r="P777" s="3"/>
      <c r="Q777" s="9"/>
      <c r="R777" s="10"/>
      <c r="S777" s="10"/>
      <c r="T777" s="7"/>
      <c r="U777" s="7"/>
    </row>
    <row r="778" spans="1:21" x14ac:dyDescent="0.25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6"/>
      <c r="M778" s="6"/>
      <c r="N778" s="3"/>
      <c r="O778" s="3"/>
      <c r="P778" s="3"/>
      <c r="Q778" s="9"/>
      <c r="R778" s="10"/>
      <c r="S778" s="10"/>
      <c r="T778" s="7"/>
      <c r="U778" s="7"/>
    </row>
    <row r="779" spans="1:21" x14ac:dyDescent="0.25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6"/>
      <c r="M779" s="6"/>
      <c r="N779" s="3"/>
      <c r="O779" s="3"/>
      <c r="P779" s="3"/>
      <c r="Q779" s="9"/>
      <c r="R779" s="10"/>
      <c r="S779" s="10"/>
      <c r="T779" s="7"/>
      <c r="U779" s="7"/>
    </row>
    <row r="780" spans="1:21" x14ac:dyDescent="0.25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6"/>
      <c r="M780" s="6"/>
      <c r="N780" s="3"/>
      <c r="O780" s="3"/>
      <c r="P780" s="3"/>
      <c r="Q780" s="9"/>
      <c r="R780" s="10"/>
      <c r="S780" s="10"/>
      <c r="T780" s="7"/>
      <c r="U780" s="7"/>
    </row>
    <row r="781" spans="1:21" x14ac:dyDescent="0.25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6"/>
      <c r="M781" s="6"/>
      <c r="N781" s="3"/>
      <c r="O781" s="3"/>
      <c r="P781" s="3"/>
      <c r="Q781" s="9"/>
      <c r="R781" s="10"/>
      <c r="S781" s="10"/>
      <c r="T781" s="7"/>
      <c r="U781" s="7"/>
    </row>
    <row r="782" spans="1:21" x14ac:dyDescent="0.25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6"/>
      <c r="M782" s="6"/>
      <c r="N782" s="3"/>
      <c r="O782" s="3"/>
      <c r="P782" s="3"/>
      <c r="Q782" s="9"/>
      <c r="R782" s="10"/>
      <c r="S782" s="10"/>
      <c r="T782" s="7"/>
      <c r="U782" s="7"/>
    </row>
    <row r="783" spans="1:21" x14ac:dyDescent="0.25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6"/>
      <c r="M783" s="6"/>
      <c r="N783" s="3"/>
      <c r="O783" s="3"/>
      <c r="P783" s="3"/>
      <c r="Q783" s="9"/>
      <c r="R783" s="10"/>
      <c r="S783" s="10"/>
      <c r="T783" s="7"/>
      <c r="U783" s="7"/>
    </row>
    <row r="784" spans="1:21" x14ac:dyDescent="0.25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6"/>
      <c r="M784" s="6"/>
      <c r="N784" s="3"/>
      <c r="O784" s="3"/>
      <c r="P784" s="3"/>
      <c r="Q784" s="9"/>
      <c r="R784" s="10"/>
      <c r="S784" s="10"/>
      <c r="T784" s="7"/>
      <c r="U784" s="7"/>
    </row>
    <row r="785" spans="1:21" x14ac:dyDescent="0.25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6"/>
      <c r="M785" s="6"/>
      <c r="N785" s="3"/>
      <c r="O785" s="3"/>
      <c r="P785" s="3"/>
      <c r="Q785" s="9"/>
      <c r="R785" s="10"/>
      <c r="S785" s="10"/>
      <c r="T785" s="7"/>
      <c r="U785" s="7"/>
    </row>
    <row r="786" spans="1:21" x14ac:dyDescent="0.25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6"/>
      <c r="M786" s="6"/>
      <c r="N786" s="3"/>
      <c r="O786" s="3"/>
      <c r="P786" s="3"/>
      <c r="Q786" s="9"/>
      <c r="R786" s="10"/>
      <c r="S786" s="10"/>
      <c r="T786" s="7"/>
      <c r="U786" s="7"/>
    </row>
    <row r="787" spans="1:21" x14ac:dyDescent="0.25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6"/>
      <c r="M787" s="6"/>
      <c r="N787" s="3"/>
      <c r="O787" s="3"/>
      <c r="P787" s="3"/>
      <c r="Q787" s="9"/>
      <c r="R787" s="10"/>
      <c r="S787" s="10"/>
      <c r="T787" s="7"/>
      <c r="U787" s="7"/>
    </row>
    <row r="788" spans="1:21" x14ac:dyDescent="0.25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6"/>
      <c r="M788" s="6"/>
      <c r="N788" s="3"/>
      <c r="O788" s="3"/>
      <c r="P788" s="3"/>
      <c r="Q788" s="9"/>
      <c r="R788" s="10"/>
      <c r="S788" s="10"/>
      <c r="T788" s="7"/>
      <c r="U788" s="7"/>
    </row>
    <row r="789" spans="1:21" x14ac:dyDescent="0.25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6"/>
      <c r="M789" s="6"/>
      <c r="N789" s="3"/>
      <c r="O789" s="3"/>
      <c r="P789" s="3"/>
      <c r="Q789" s="9"/>
      <c r="R789" s="10"/>
      <c r="S789" s="10"/>
      <c r="T789" s="7"/>
      <c r="U789" s="7"/>
    </row>
    <row r="790" spans="1:21" x14ac:dyDescent="0.25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6"/>
      <c r="M790" s="6"/>
      <c r="N790" s="3"/>
      <c r="O790" s="3"/>
      <c r="P790" s="3"/>
      <c r="Q790" s="9"/>
      <c r="R790" s="10"/>
      <c r="S790" s="10"/>
      <c r="T790" s="7"/>
      <c r="U790" s="7"/>
    </row>
    <row r="791" spans="1:21" x14ac:dyDescent="0.25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6"/>
      <c r="M791" s="6"/>
      <c r="N791" s="3"/>
      <c r="O791" s="3"/>
      <c r="P791" s="3"/>
      <c r="Q791" s="9"/>
      <c r="R791" s="10"/>
      <c r="S791" s="10"/>
      <c r="T791" s="7"/>
      <c r="U791" s="7"/>
    </row>
    <row r="792" spans="1:21" x14ac:dyDescent="0.25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6"/>
      <c r="M792" s="6"/>
      <c r="N792" s="3"/>
      <c r="O792" s="3"/>
      <c r="P792" s="3"/>
      <c r="Q792" s="9"/>
      <c r="R792" s="10"/>
      <c r="S792" s="10"/>
      <c r="T792" s="7"/>
      <c r="U792" s="7"/>
    </row>
    <row r="793" spans="1:21" x14ac:dyDescent="0.25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6"/>
      <c r="M793" s="6"/>
      <c r="N793" s="3"/>
      <c r="O793" s="3"/>
      <c r="P793" s="3"/>
      <c r="Q793" s="9"/>
      <c r="R793" s="10"/>
      <c r="S793" s="10"/>
      <c r="T793" s="7"/>
      <c r="U793" s="7"/>
    </row>
    <row r="794" spans="1:21" x14ac:dyDescent="0.25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6"/>
      <c r="M794" s="6"/>
      <c r="N794" s="3"/>
      <c r="O794" s="3"/>
      <c r="P794" s="3"/>
      <c r="Q794" s="9"/>
      <c r="R794" s="10"/>
      <c r="S794" s="10"/>
      <c r="T794" s="7"/>
      <c r="U794" s="7"/>
    </row>
    <row r="795" spans="1:21" x14ac:dyDescent="0.25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6"/>
      <c r="M795" s="6"/>
      <c r="N795" s="3"/>
      <c r="O795" s="3"/>
      <c r="P795" s="3"/>
      <c r="Q795" s="9"/>
      <c r="R795" s="10"/>
      <c r="S795" s="10"/>
      <c r="T795" s="7"/>
      <c r="U795" s="7"/>
    </row>
    <row r="796" spans="1:21" x14ac:dyDescent="0.25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6"/>
      <c r="M796" s="6"/>
      <c r="N796" s="3"/>
      <c r="O796" s="3"/>
      <c r="P796" s="3"/>
      <c r="Q796" s="9"/>
      <c r="R796" s="10"/>
      <c r="S796" s="10"/>
      <c r="T796" s="7"/>
      <c r="U796" s="7"/>
    </row>
    <row r="797" spans="1:21" x14ac:dyDescent="0.25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6"/>
      <c r="M797" s="6"/>
      <c r="N797" s="3"/>
      <c r="O797" s="3"/>
      <c r="P797" s="3"/>
      <c r="Q797" s="9"/>
      <c r="R797" s="10"/>
      <c r="S797" s="10"/>
      <c r="T797" s="7"/>
      <c r="U797" s="7"/>
    </row>
    <row r="798" spans="1:21" x14ac:dyDescent="0.25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6"/>
      <c r="M798" s="6"/>
      <c r="N798" s="3"/>
      <c r="O798" s="3"/>
      <c r="P798" s="3"/>
      <c r="Q798" s="9"/>
      <c r="R798" s="10"/>
      <c r="S798" s="10"/>
      <c r="T798" s="7"/>
      <c r="U798" s="7"/>
    </row>
    <row r="799" spans="1:21" x14ac:dyDescent="0.25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6"/>
      <c r="M799" s="6"/>
      <c r="N799" s="3"/>
      <c r="O799" s="3"/>
      <c r="P799" s="3"/>
      <c r="Q799" s="9"/>
      <c r="R799" s="10"/>
      <c r="S799" s="10"/>
      <c r="T799" s="7"/>
      <c r="U799" s="7"/>
    </row>
    <row r="800" spans="1:21" x14ac:dyDescent="0.25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6"/>
      <c r="M800" s="6"/>
      <c r="N800" s="3"/>
      <c r="O800" s="3"/>
      <c r="P800" s="3"/>
      <c r="Q800" s="9"/>
      <c r="R800" s="10"/>
      <c r="S800" s="10"/>
      <c r="T800" s="7"/>
      <c r="U800" s="7"/>
    </row>
    <row r="801" spans="1:21" x14ac:dyDescent="0.25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6"/>
      <c r="M801" s="6"/>
      <c r="N801" s="3"/>
      <c r="O801" s="3"/>
      <c r="P801" s="3"/>
      <c r="Q801" s="9"/>
      <c r="R801" s="10"/>
      <c r="S801" s="10"/>
      <c r="T801" s="7"/>
      <c r="U801" s="7"/>
    </row>
    <row r="802" spans="1:21" x14ac:dyDescent="0.25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6"/>
      <c r="M802" s="6"/>
      <c r="N802" s="3"/>
      <c r="O802" s="3"/>
      <c r="P802" s="3"/>
      <c r="Q802" s="9"/>
      <c r="R802" s="10"/>
      <c r="S802" s="10"/>
      <c r="T802" s="7"/>
      <c r="U802" s="7"/>
    </row>
    <row r="803" spans="1:21" x14ac:dyDescent="0.25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6"/>
      <c r="M803" s="6"/>
      <c r="N803" s="3"/>
      <c r="O803" s="3"/>
      <c r="P803" s="3"/>
      <c r="Q803" s="9"/>
      <c r="R803" s="10"/>
      <c r="S803" s="10"/>
      <c r="T803" s="7"/>
      <c r="U803" s="7"/>
    </row>
    <row r="804" spans="1:21" x14ac:dyDescent="0.25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6"/>
      <c r="M804" s="6"/>
      <c r="N804" s="3"/>
      <c r="O804" s="3"/>
      <c r="P804" s="3"/>
      <c r="Q804" s="9"/>
      <c r="R804" s="10"/>
      <c r="S804" s="10"/>
      <c r="T804" s="7"/>
      <c r="U804" s="7"/>
    </row>
    <row r="805" spans="1:21" x14ac:dyDescent="0.25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6"/>
      <c r="M805" s="6"/>
      <c r="N805" s="3"/>
      <c r="O805" s="3"/>
      <c r="P805" s="3"/>
      <c r="Q805" s="9"/>
      <c r="R805" s="10"/>
      <c r="S805" s="10"/>
      <c r="T805" s="7"/>
      <c r="U805" s="7"/>
    </row>
    <row r="806" spans="1:21" x14ac:dyDescent="0.25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6"/>
      <c r="M806" s="6"/>
      <c r="N806" s="3"/>
      <c r="O806" s="3"/>
      <c r="P806" s="3"/>
      <c r="Q806" s="9"/>
      <c r="R806" s="10"/>
      <c r="S806" s="10"/>
      <c r="T806" s="7"/>
      <c r="U806" s="7"/>
    </row>
    <row r="807" spans="1:21" x14ac:dyDescent="0.25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6"/>
      <c r="M807" s="6"/>
      <c r="N807" s="3"/>
      <c r="O807" s="3"/>
      <c r="P807" s="3"/>
      <c r="Q807" s="9"/>
      <c r="R807" s="10"/>
      <c r="S807" s="10"/>
      <c r="T807" s="7"/>
      <c r="U807" s="7"/>
    </row>
    <row r="808" spans="1:21" x14ac:dyDescent="0.25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6"/>
      <c r="M808" s="6"/>
      <c r="N808" s="3"/>
      <c r="O808" s="3"/>
      <c r="P808" s="3"/>
      <c r="Q808" s="9"/>
      <c r="R808" s="10"/>
      <c r="S808" s="10"/>
      <c r="T808" s="7"/>
      <c r="U808" s="7"/>
    </row>
    <row r="809" spans="1:21" x14ac:dyDescent="0.25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6"/>
      <c r="M809" s="6"/>
      <c r="N809" s="3"/>
      <c r="O809" s="3"/>
      <c r="P809" s="3"/>
      <c r="Q809" s="9"/>
      <c r="R809" s="10"/>
      <c r="S809" s="10"/>
      <c r="T809" s="7"/>
      <c r="U809" s="7"/>
    </row>
    <row r="810" spans="1:21" x14ac:dyDescent="0.25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6"/>
      <c r="M810" s="6"/>
      <c r="N810" s="3"/>
      <c r="O810" s="3"/>
      <c r="P810" s="3"/>
      <c r="Q810" s="9"/>
      <c r="R810" s="10"/>
      <c r="S810" s="10"/>
      <c r="T810" s="7"/>
      <c r="U810" s="7"/>
    </row>
    <row r="811" spans="1:21" x14ac:dyDescent="0.25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6"/>
      <c r="M811" s="6"/>
      <c r="N811" s="3"/>
      <c r="O811" s="3"/>
      <c r="P811" s="3"/>
      <c r="Q811" s="9"/>
      <c r="R811" s="10"/>
      <c r="S811" s="10"/>
      <c r="T811" s="7"/>
      <c r="U811" s="7"/>
    </row>
    <row r="812" spans="1:21" x14ac:dyDescent="0.25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6"/>
      <c r="M812" s="6"/>
      <c r="N812" s="3"/>
      <c r="O812" s="3"/>
      <c r="P812" s="3"/>
      <c r="Q812" s="9"/>
      <c r="R812" s="10"/>
      <c r="S812" s="10"/>
      <c r="T812" s="7"/>
      <c r="U812" s="7"/>
    </row>
    <row r="813" spans="1:21" x14ac:dyDescent="0.25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6"/>
      <c r="M813" s="6"/>
      <c r="N813" s="3"/>
      <c r="O813" s="3"/>
      <c r="P813" s="3"/>
      <c r="Q813" s="9"/>
      <c r="R813" s="10"/>
      <c r="S813" s="10"/>
      <c r="T813" s="7"/>
      <c r="U813" s="7"/>
    </row>
    <row r="814" spans="1:21" x14ac:dyDescent="0.25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6"/>
      <c r="M814" s="6"/>
      <c r="N814" s="3"/>
      <c r="O814" s="3"/>
      <c r="P814" s="3"/>
      <c r="Q814" s="9"/>
      <c r="R814" s="10"/>
      <c r="S814" s="10"/>
      <c r="T814" s="7"/>
      <c r="U814" s="7"/>
    </row>
    <row r="815" spans="1:21" x14ac:dyDescent="0.25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6"/>
      <c r="M815" s="6"/>
      <c r="N815" s="3"/>
      <c r="O815" s="3"/>
      <c r="P815" s="3"/>
      <c r="Q815" s="9"/>
      <c r="R815" s="10"/>
      <c r="S815" s="10"/>
      <c r="T815" s="7"/>
      <c r="U815" s="7"/>
    </row>
    <row r="816" spans="1:21" x14ac:dyDescent="0.25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6"/>
      <c r="M816" s="6"/>
      <c r="N816" s="3"/>
      <c r="O816" s="3"/>
      <c r="P816" s="3"/>
      <c r="Q816" s="9"/>
      <c r="R816" s="10"/>
      <c r="S816" s="10"/>
      <c r="T816" s="7"/>
      <c r="U816" s="7"/>
    </row>
    <row r="817" spans="1:21" x14ac:dyDescent="0.25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6"/>
      <c r="M817" s="6"/>
      <c r="N817" s="3"/>
      <c r="O817" s="3"/>
      <c r="P817" s="3"/>
      <c r="Q817" s="9"/>
      <c r="R817" s="10"/>
      <c r="S817" s="10"/>
      <c r="T817" s="7"/>
      <c r="U817" s="7"/>
    </row>
    <row r="818" spans="1:21" x14ac:dyDescent="0.25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6"/>
      <c r="M818" s="6"/>
      <c r="N818" s="3"/>
      <c r="O818" s="3"/>
      <c r="P818" s="3"/>
      <c r="Q818" s="9"/>
      <c r="R818" s="10"/>
      <c r="S818" s="10"/>
      <c r="T818" s="7"/>
      <c r="U818" s="7"/>
    </row>
    <row r="819" spans="1:21" x14ac:dyDescent="0.25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6"/>
      <c r="M819" s="6"/>
      <c r="N819" s="3"/>
      <c r="O819" s="3"/>
      <c r="P819" s="3"/>
      <c r="Q819" s="9"/>
      <c r="R819" s="10"/>
      <c r="S819" s="10"/>
      <c r="T819" s="7"/>
      <c r="U819" s="7"/>
    </row>
    <row r="820" spans="1:21" x14ac:dyDescent="0.25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6"/>
      <c r="M820" s="6"/>
      <c r="N820" s="3"/>
      <c r="O820" s="3"/>
      <c r="P820" s="3"/>
      <c r="Q820" s="9"/>
      <c r="R820" s="10"/>
      <c r="S820" s="10"/>
      <c r="T820" s="7"/>
      <c r="U820" s="7"/>
    </row>
    <row r="821" spans="1:21" x14ac:dyDescent="0.25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6"/>
      <c r="M821" s="6"/>
      <c r="N821" s="3"/>
      <c r="O821" s="3"/>
      <c r="P821" s="3"/>
      <c r="Q821" s="9"/>
      <c r="R821" s="10"/>
      <c r="S821" s="10"/>
      <c r="T821" s="7"/>
      <c r="U821" s="7"/>
    </row>
    <row r="822" spans="1:21" x14ac:dyDescent="0.25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6"/>
      <c r="M822" s="6"/>
      <c r="N822" s="3"/>
      <c r="O822" s="3"/>
      <c r="P822" s="3"/>
      <c r="Q822" s="9"/>
      <c r="R822" s="10"/>
      <c r="S822" s="10"/>
      <c r="T822" s="7"/>
      <c r="U822" s="7"/>
    </row>
    <row r="823" spans="1:21" x14ac:dyDescent="0.25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6"/>
      <c r="M823" s="6"/>
      <c r="N823" s="3"/>
      <c r="O823" s="3"/>
      <c r="P823" s="3"/>
      <c r="Q823" s="9"/>
      <c r="R823" s="10"/>
      <c r="S823" s="10"/>
      <c r="T823" s="7"/>
      <c r="U823" s="7"/>
    </row>
    <row r="824" spans="1:21" x14ac:dyDescent="0.25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6"/>
      <c r="M824" s="6"/>
      <c r="N824" s="3"/>
      <c r="O824" s="3"/>
      <c r="P824" s="3"/>
      <c r="Q824" s="9"/>
      <c r="R824" s="10"/>
      <c r="S824" s="10"/>
      <c r="T824" s="7"/>
      <c r="U824" s="7"/>
    </row>
    <row r="825" spans="1:21" x14ac:dyDescent="0.25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6"/>
      <c r="M825" s="6"/>
      <c r="N825" s="3"/>
      <c r="O825" s="3"/>
      <c r="P825" s="3"/>
      <c r="Q825" s="9"/>
      <c r="R825" s="10"/>
      <c r="S825" s="10"/>
      <c r="T825" s="7"/>
      <c r="U825" s="7"/>
    </row>
    <row r="826" spans="1:21" x14ac:dyDescent="0.25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6"/>
      <c r="M826" s="6"/>
      <c r="N826" s="3"/>
      <c r="O826" s="3"/>
      <c r="P826" s="3"/>
      <c r="Q826" s="9"/>
      <c r="R826" s="10"/>
      <c r="S826" s="10"/>
      <c r="T826" s="7"/>
      <c r="U826" s="7"/>
    </row>
    <row r="827" spans="1:21" x14ac:dyDescent="0.25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6"/>
      <c r="M827" s="6"/>
      <c r="N827" s="3"/>
      <c r="O827" s="3"/>
      <c r="P827" s="3"/>
      <c r="Q827" s="9"/>
      <c r="R827" s="10"/>
      <c r="S827" s="10"/>
      <c r="T827" s="7"/>
      <c r="U827" s="7"/>
    </row>
    <row r="828" spans="1:21" x14ac:dyDescent="0.25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6"/>
      <c r="M828" s="6"/>
      <c r="N828" s="3"/>
      <c r="O828" s="3"/>
      <c r="P828" s="3"/>
      <c r="Q828" s="9"/>
      <c r="R828" s="10"/>
      <c r="S828" s="10"/>
      <c r="T828" s="7"/>
      <c r="U828" s="7"/>
    </row>
    <row r="829" spans="1:21" x14ac:dyDescent="0.25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6"/>
      <c r="M829" s="6"/>
      <c r="N829" s="3"/>
      <c r="O829" s="3"/>
      <c r="P829" s="3"/>
      <c r="Q829" s="9"/>
      <c r="R829" s="10"/>
      <c r="S829" s="10"/>
      <c r="T829" s="7"/>
      <c r="U829" s="7"/>
    </row>
    <row r="830" spans="1:21" x14ac:dyDescent="0.25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6"/>
      <c r="M830" s="6"/>
      <c r="N830" s="3"/>
      <c r="O830" s="3"/>
      <c r="P830" s="3"/>
      <c r="Q830" s="9"/>
      <c r="R830" s="10"/>
      <c r="S830" s="10"/>
      <c r="T830" s="7"/>
      <c r="U830" s="7"/>
    </row>
    <row r="831" spans="1:21" x14ac:dyDescent="0.25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6"/>
      <c r="M831" s="6"/>
      <c r="N831" s="3"/>
      <c r="O831" s="3"/>
      <c r="P831" s="3"/>
      <c r="Q831" s="9"/>
      <c r="R831" s="10"/>
      <c r="S831" s="10"/>
      <c r="T831" s="7"/>
      <c r="U831" s="7"/>
    </row>
    <row r="832" spans="1:21" x14ac:dyDescent="0.25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6"/>
      <c r="M832" s="6"/>
      <c r="N832" s="3"/>
      <c r="O832" s="3"/>
      <c r="P832" s="3"/>
      <c r="Q832" s="9"/>
      <c r="R832" s="10"/>
      <c r="S832" s="10"/>
      <c r="T832" s="7"/>
      <c r="U832" s="7"/>
    </row>
    <row r="833" spans="1:21" x14ac:dyDescent="0.25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6"/>
      <c r="M833" s="6"/>
      <c r="N833" s="3"/>
      <c r="O833" s="3"/>
      <c r="P833" s="3"/>
      <c r="Q833" s="9"/>
      <c r="R833" s="10"/>
      <c r="S833" s="10"/>
      <c r="T833" s="7"/>
      <c r="U833" s="7"/>
    </row>
    <row r="834" spans="1:21" x14ac:dyDescent="0.25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6"/>
      <c r="M834" s="6"/>
      <c r="N834" s="3"/>
      <c r="O834" s="3"/>
      <c r="P834" s="3"/>
      <c r="Q834" s="9"/>
      <c r="R834" s="10"/>
      <c r="S834" s="10"/>
      <c r="T834" s="7"/>
      <c r="U834" s="7"/>
    </row>
    <row r="835" spans="1:21" x14ac:dyDescent="0.25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6"/>
      <c r="M835" s="6"/>
      <c r="N835" s="3"/>
      <c r="O835" s="3"/>
      <c r="P835" s="3"/>
      <c r="Q835" s="9"/>
      <c r="R835" s="10"/>
      <c r="S835" s="10"/>
      <c r="T835" s="7"/>
      <c r="U835" s="7"/>
    </row>
    <row r="836" spans="1:21" x14ac:dyDescent="0.25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6"/>
      <c r="M836" s="6"/>
      <c r="N836" s="3"/>
      <c r="O836" s="3"/>
      <c r="P836" s="3"/>
      <c r="Q836" s="9"/>
      <c r="R836" s="10"/>
      <c r="S836" s="10"/>
      <c r="T836" s="7"/>
      <c r="U836" s="7"/>
    </row>
    <row r="837" spans="1:21" x14ac:dyDescent="0.25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6"/>
      <c r="M837" s="6"/>
      <c r="N837" s="3"/>
      <c r="O837" s="3"/>
      <c r="P837" s="3"/>
      <c r="Q837" s="9"/>
      <c r="R837" s="10"/>
      <c r="S837" s="10"/>
      <c r="T837" s="7"/>
      <c r="U837" s="7"/>
    </row>
    <row r="838" spans="1:21" x14ac:dyDescent="0.25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6"/>
      <c r="M838" s="6"/>
      <c r="N838" s="3"/>
      <c r="O838" s="3"/>
      <c r="P838" s="3"/>
      <c r="Q838" s="9"/>
      <c r="R838" s="10"/>
      <c r="S838" s="10"/>
      <c r="T838" s="7"/>
      <c r="U838" s="7"/>
    </row>
    <row r="839" spans="1:21" x14ac:dyDescent="0.25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6"/>
      <c r="M839" s="6"/>
      <c r="N839" s="3"/>
      <c r="O839" s="3"/>
      <c r="P839" s="3"/>
      <c r="Q839" s="9"/>
      <c r="R839" s="10"/>
      <c r="S839" s="10"/>
      <c r="T839" s="7"/>
      <c r="U839" s="7"/>
    </row>
    <row r="840" spans="1:21" x14ac:dyDescent="0.25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6"/>
      <c r="M840" s="6"/>
      <c r="N840" s="3"/>
      <c r="O840" s="3"/>
      <c r="P840" s="3"/>
      <c r="Q840" s="9"/>
      <c r="R840" s="10"/>
      <c r="S840" s="10"/>
      <c r="T840" s="7"/>
      <c r="U840" s="7"/>
    </row>
    <row r="841" spans="1:21" x14ac:dyDescent="0.25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6"/>
      <c r="M841" s="6"/>
      <c r="N841" s="3"/>
      <c r="O841" s="3"/>
      <c r="P841" s="3"/>
      <c r="Q841" s="9"/>
      <c r="R841" s="10"/>
      <c r="S841" s="10"/>
      <c r="T841" s="7"/>
      <c r="U841" s="7"/>
    </row>
    <row r="842" spans="1:21" x14ac:dyDescent="0.25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6"/>
      <c r="M842" s="6"/>
      <c r="N842" s="3"/>
      <c r="O842" s="3"/>
      <c r="P842" s="3"/>
      <c r="Q842" s="9"/>
      <c r="R842" s="10"/>
      <c r="S842" s="10"/>
      <c r="T842" s="7"/>
      <c r="U842" s="7"/>
    </row>
    <row r="843" spans="1:21" x14ac:dyDescent="0.25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6"/>
      <c r="M843" s="6"/>
      <c r="N843" s="3"/>
      <c r="O843" s="3"/>
      <c r="P843" s="3"/>
      <c r="Q843" s="9"/>
      <c r="R843" s="10"/>
      <c r="S843" s="10"/>
      <c r="T843" s="7"/>
      <c r="U843" s="7"/>
    </row>
    <row r="844" spans="1:21" x14ac:dyDescent="0.25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6"/>
      <c r="M844" s="6"/>
      <c r="N844" s="3"/>
      <c r="O844" s="3"/>
      <c r="P844" s="3"/>
      <c r="Q844" s="9"/>
      <c r="R844" s="10"/>
      <c r="S844" s="10"/>
      <c r="T844" s="7"/>
      <c r="U844" s="7"/>
    </row>
    <row r="845" spans="1:21" x14ac:dyDescent="0.25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6"/>
      <c r="M845" s="6"/>
      <c r="N845" s="3"/>
      <c r="O845" s="3"/>
      <c r="P845" s="3"/>
      <c r="Q845" s="9"/>
      <c r="R845" s="10"/>
      <c r="S845" s="10"/>
      <c r="T845" s="7"/>
      <c r="U845" s="7"/>
    </row>
    <row r="846" spans="1:21" x14ac:dyDescent="0.25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6"/>
      <c r="M846" s="6"/>
      <c r="N846" s="3"/>
      <c r="O846" s="3"/>
      <c r="P846" s="3"/>
      <c r="Q846" s="9"/>
      <c r="R846" s="10"/>
      <c r="S846" s="10"/>
      <c r="T846" s="7"/>
      <c r="U846" s="7"/>
    </row>
    <row r="847" spans="1:21" x14ac:dyDescent="0.25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6"/>
      <c r="M847" s="6"/>
      <c r="N847" s="3"/>
      <c r="O847" s="3"/>
      <c r="P847" s="3"/>
      <c r="Q847" s="9"/>
      <c r="R847" s="10"/>
      <c r="S847" s="10"/>
      <c r="T847" s="7"/>
      <c r="U847" s="7"/>
    </row>
    <row r="848" spans="1:21" x14ac:dyDescent="0.25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6"/>
      <c r="M848" s="6"/>
      <c r="N848" s="3"/>
      <c r="O848" s="3"/>
      <c r="P848" s="3"/>
      <c r="Q848" s="9"/>
      <c r="R848" s="10"/>
      <c r="S848" s="10"/>
      <c r="T848" s="7"/>
      <c r="U848" s="7"/>
    </row>
    <row r="849" spans="1:21" x14ac:dyDescent="0.25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6"/>
      <c r="M849" s="6"/>
      <c r="N849" s="3"/>
      <c r="O849" s="3"/>
      <c r="P849" s="3"/>
      <c r="Q849" s="9"/>
      <c r="R849" s="10"/>
      <c r="S849" s="10"/>
      <c r="T849" s="7"/>
      <c r="U849" s="7"/>
    </row>
    <row r="850" spans="1:21" x14ac:dyDescent="0.25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6"/>
      <c r="M850" s="6"/>
      <c r="N850" s="3"/>
      <c r="O850" s="3"/>
      <c r="P850" s="3"/>
      <c r="Q850" s="9"/>
      <c r="R850" s="10"/>
      <c r="S850" s="10"/>
      <c r="T850" s="7"/>
      <c r="U850" s="7"/>
    </row>
    <row r="851" spans="1:21" x14ac:dyDescent="0.25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6"/>
      <c r="M851" s="6"/>
      <c r="N851" s="3"/>
      <c r="O851" s="3"/>
      <c r="P851" s="3"/>
      <c r="Q851" s="9"/>
      <c r="R851" s="10"/>
      <c r="S851" s="10"/>
      <c r="T851" s="7"/>
      <c r="U851" s="7"/>
    </row>
    <row r="852" spans="1:21" x14ac:dyDescent="0.25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6"/>
      <c r="M852" s="6"/>
      <c r="N852" s="3"/>
      <c r="O852" s="3"/>
      <c r="P852" s="3"/>
      <c r="Q852" s="9"/>
      <c r="R852" s="10"/>
      <c r="S852" s="10"/>
      <c r="T852" s="7"/>
      <c r="U852" s="7"/>
    </row>
    <row r="853" spans="1:21" x14ac:dyDescent="0.25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6"/>
      <c r="M853" s="6"/>
      <c r="N853" s="3"/>
      <c r="O853" s="3"/>
      <c r="P853" s="3"/>
      <c r="Q853" s="9"/>
      <c r="R853" s="10"/>
      <c r="S853" s="10"/>
      <c r="T853" s="7"/>
      <c r="U853" s="7"/>
    </row>
    <row r="854" spans="1:21" x14ac:dyDescent="0.25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6"/>
      <c r="M854" s="6"/>
      <c r="N854" s="3"/>
      <c r="O854" s="3"/>
      <c r="P854" s="3"/>
      <c r="Q854" s="9"/>
      <c r="R854" s="10"/>
      <c r="S854" s="10"/>
      <c r="T854" s="7"/>
      <c r="U854" s="7"/>
    </row>
    <row r="855" spans="1:21" x14ac:dyDescent="0.25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6"/>
      <c r="M855" s="6"/>
      <c r="N855" s="3"/>
      <c r="O855" s="3"/>
      <c r="P855" s="3"/>
      <c r="Q855" s="9"/>
      <c r="R855" s="10"/>
      <c r="S855" s="10"/>
      <c r="T855" s="7"/>
      <c r="U855" s="7"/>
    </row>
    <row r="856" spans="1:21" x14ac:dyDescent="0.25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6"/>
      <c r="M856" s="6"/>
      <c r="N856" s="3"/>
      <c r="O856" s="3"/>
      <c r="P856" s="3"/>
      <c r="Q856" s="9"/>
      <c r="R856" s="10"/>
      <c r="S856" s="10"/>
      <c r="T856" s="7"/>
      <c r="U856" s="7"/>
    </row>
    <row r="857" spans="1:21" x14ac:dyDescent="0.25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6"/>
      <c r="M857" s="6"/>
      <c r="N857" s="3"/>
      <c r="O857" s="3"/>
      <c r="P857" s="3"/>
      <c r="Q857" s="9"/>
      <c r="R857" s="10"/>
      <c r="S857" s="10"/>
      <c r="T857" s="7"/>
      <c r="U857" s="7"/>
    </row>
    <row r="858" spans="1:21" x14ac:dyDescent="0.25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6"/>
      <c r="M858" s="6"/>
      <c r="N858" s="3"/>
      <c r="O858" s="3"/>
      <c r="P858" s="3"/>
      <c r="Q858" s="9"/>
      <c r="R858" s="10"/>
      <c r="S858" s="10"/>
      <c r="T858" s="7"/>
      <c r="U858" s="7"/>
    </row>
    <row r="859" spans="1:21" x14ac:dyDescent="0.25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6"/>
      <c r="M859" s="6"/>
      <c r="N859" s="3"/>
      <c r="O859" s="3"/>
      <c r="P859" s="3"/>
      <c r="Q859" s="9"/>
      <c r="R859" s="10"/>
      <c r="S859" s="10"/>
      <c r="T859" s="7"/>
      <c r="U859" s="7"/>
    </row>
    <row r="860" spans="1:21" x14ac:dyDescent="0.25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6"/>
      <c r="M860" s="6"/>
      <c r="N860" s="3"/>
      <c r="O860" s="3"/>
      <c r="P860" s="3"/>
      <c r="Q860" s="9"/>
      <c r="R860" s="10"/>
      <c r="S860" s="10"/>
      <c r="T860" s="7"/>
      <c r="U860" s="7"/>
    </row>
    <row r="861" spans="1:21" x14ac:dyDescent="0.25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2"/>
      <c r="M861" s="2"/>
      <c r="N861" s="3"/>
      <c r="O861" s="3"/>
      <c r="P861" s="3"/>
      <c r="Q861" s="9"/>
      <c r="R861" s="9"/>
      <c r="S861" s="10"/>
      <c r="T861" s="7"/>
      <c r="U861" s="7"/>
    </row>
    <row r="862" spans="1:21" x14ac:dyDescent="0.25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2"/>
      <c r="M862" s="2"/>
      <c r="N862" s="3"/>
      <c r="O862" s="3"/>
      <c r="P862" s="3"/>
      <c r="Q862" s="9"/>
      <c r="R862" s="9"/>
      <c r="S862" s="10"/>
      <c r="T862" s="7"/>
      <c r="U862" s="7"/>
    </row>
    <row r="863" spans="1:21" x14ac:dyDescent="0.25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2"/>
      <c r="M863" s="2"/>
      <c r="N863" s="3"/>
      <c r="O863" s="3"/>
      <c r="P863" s="3"/>
      <c r="Q863" s="9"/>
      <c r="R863" s="9"/>
      <c r="S863" s="10"/>
      <c r="T863" s="7"/>
      <c r="U863" s="7"/>
    </row>
    <row r="864" spans="1:21" x14ac:dyDescent="0.25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2"/>
      <c r="M864" s="2"/>
      <c r="N864" s="3"/>
      <c r="O864" s="3"/>
      <c r="P864" s="3"/>
      <c r="Q864" s="9"/>
      <c r="R864" s="9"/>
      <c r="S864" s="10"/>
      <c r="T864" s="7"/>
      <c r="U864" s="7"/>
    </row>
    <row r="865" spans="1:21" x14ac:dyDescent="0.25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2"/>
      <c r="M865" s="2"/>
      <c r="N865" s="3"/>
      <c r="O865" s="3"/>
      <c r="P865" s="3"/>
      <c r="Q865" s="9"/>
      <c r="R865" s="9"/>
      <c r="S865" s="10"/>
      <c r="T865" s="7"/>
      <c r="U865" s="7"/>
    </row>
    <row r="866" spans="1:21" x14ac:dyDescent="0.25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2"/>
      <c r="M866" s="2"/>
      <c r="N866" s="3"/>
      <c r="O866" s="3"/>
      <c r="P866" s="3"/>
      <c r="Q866" s="9"/>
      <c r="R866" s="9"/>
      <c r="S866" s="10"/>
      <c r="T866" s="7"/>
      <c r="U866" s="7"/>
    </row>
    <row r="867" spans="1:21" x14ac:dyDescent="0.25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2"/>
      <c r="M867" s="2"/>
      <c r="N867" s="3"/>
      <c r="O867" s="3"/>
      <c r="P867" s="3"/>
      <c r="Q867" s="9"/>
      <c r="R867" s="9"/>
      <c r="S867" s="10"/>
      <c r="T867" s="7"/>
      <c r="U867" s="7"/>
    </row>
    <row r="868" spans="1:21" x14ac:dyDescent="0.25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2"/>
      <c r="M868" s="2"/>
      <c r="N868" s="3"/>
      <c r="O868" s="3"/>
      <c r="P868" s="3"/>
      <c r="Q868" s="9"/>
      <c r="R868" s="9"/>
      <c r="S868" s="10"/>
      <c r="T868" s="7"/>
      <c r="U868" s="7"/>
    </row>
    <row r="869" spans="1:21" x14ac:dyDescent="0.25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2"/>
      <c r="M869" s="2"/>
      <c r="N869" s="3"/>
      <c r="O869" s="3"/>
      <c r="P869" s="3"/>
      <c r="Q869" s="9"/>
      <c r="R869" s="9"/>
      <c r="S869" s="10"/>
      <c r="T869" s="7"/>
      <c r="U869" s="7"/>
    </row>
    <row r="870" spans="1:21" x14ac:dyDescent="0.25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2"/>
      <c r="M870" s="2"/>
      <c r="N870" s="3"/>
      <c r="O870" s="3"/>
      <c r="P870" s="3"/>
      <c r="Q870" s="9"/>
      <c r="R870" s="9"/>
      <c r="S870" s="10"/>
      <c r="T870" s="7"/>
      <c r="U870" s="7"/>
    </row>
    <row r="871" spans="1:21" x14ac:dyDescent="0.25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2"/>
      <c r="M871" s="2"/>
      <c r="N871" s="3"/>
      <c r="O871" s="3"/>
      <c r="P871" s="3"/>
      <c r="Q871" s="9"/>
      <c r="R871" s="9"/>
      <c r="S871" s="10"/>
      <c r="T871" s="7"/>
      <c r="U871" s="7"/>
    </row>
    <row r="872" spans="1:21" x14ac:dyDescent="0.25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2"/>
      <c r="M872" s="2"/>
      <c r="N872" s="3"/>
      <c r="O872" s="3"/>
      <c r="P872" s="3"/>
      <c r="Q872" s="9"/>
      <c r="R872" s="9"/>
      <c r="S872" s="10"/>
      <c r="T872" s="7"/>
      <c r="U872" s="7"/>
    </row>
    <row r="873" spans="1:21" x14ac:dyDescent="0.25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2"/>
      <c r="M873" s="2"/>
      <c r="N873" s="3"/>
      <c r="O873" s="3"/>
      <c r="P873" s="3"/>
      <c r="Q873" s="9"/>
      <c r="R873" s="9"/>
      <c r="S873" s="10"/>
      <c r="T873" s="7"/>
      <c r="U873" s="7"/>
    </row>
    <row r="874" spans="1:21" x14ac:dyDescent="0.25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2"/>
      <c r="M874" s="2"/>
      <c r="N874" s="3"/>
      <c r="O874" s="3"/>
      <c r="P874" s="3"/>
      <c r="Q874" s="9"/>
      <c r="R874" s="9"/>
      <c r="S874" s="10"/>
      <c r="T874" s="7"/>
      <c r="U874" s="7"/>
    </row>
    <row r="875" spans="1:21" x14ac:dyDescent="0.25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2"/>
      <c r="M875" s="2"/>
      <c r="N875" s="3"/>
      <c r="O875" s="3"/>
      <c r="P875" s="3"/>
      <c r="Q875" s="9"/>
      <c r="R875" s="9"/>
      <c r="S875" s="10"/>
      <c r="T875" s="7"/>
      <c r="U875" s="7"/>
    </row>
    <row r="876" spans="1:21" x14ac:dyDescent="0.25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2"/>
      <c r="M876" s="2"/>
      <c r="N876" s="3"/>
      <c r="O876" s="3"/>
      <c r="P876" s="3"/>
      <c r="Q876" s="9"/>
      <c r="R876" s="9"/>
      <c r="S876" s="10"/>
      <c r="T876" s="7"/>
      <c r="U876" s="7"/>
    </row>
    <row r="877" spans="1:21" x14ac:dyDescent="0.25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2"/>
      <c r="M877" s="2"/>
      <c r="N877" s="3"/>
      <c r="O877" s="3"/>
      <c r="P877" s="3"/>
      <c r="Q877" s="9"/>
      <c r="R877" s="9"/>
      <c r="S877" s="10"/>
      <c r="T877" s="7"/>
      <c r="U877" s="7"/>
    </row>
    <row r="878" spans="1:21" x14ac:dyDescent="0.25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2"/>
      <c r="M878" s="2"/>
      <c r="N878" s="3"/>
      <c r="O878" s="3"/>
      <c r="P878" s="3"/>
      <c r="Q878" s="9"/>
      <c r="R878" s="9"/>
      <c r="S878" s="10"/>
      <c r="T878" s="7"/>
      <c r="U878" s="7"/>
    </row>
    <row r="879" spans="1:21" x14ac:dyDescent="0.25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2"/>
      <c r="M879" s="2"/>
      <c r="N879" s="3"/>
      <c r="O879" s="3"/>
      <c r="P879" s="3"/>
      <c r="Q879" s="9"/>
      <c r="R879" s="9"/>
      <c r="S879" s="10"/>
      <c r="T879" s="7"/>
      <c r="U879" s="7"/>
    </row>
    <row r="880" spans="1:21" x14ac:dyDescent="0.25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2"/>
      <c r="M880" s="2"/>
      <c r="N880" s="3"/>
      <c r="O880" s="3"/>
      <c r="P880" s="3"/>
      <c r="Q880" s="9"/>
      <c r="R880" s="9"/>
      <c r="S880" s="10"/>
      <c r="T880" s="7"/>
      <c r="U880" s="7"/>
    </row>
    <row r="881" spans="1:21" x14ac:dyDescent="0.25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2"/>
      <c r="M881" s="2"/>
      <c r="N881" s="3"/>
      <c r="O881" s="3"/>
      <c r="P881" s="3"/>
      <c r="Q881" s="9"/>
      <c r="R881" s="9"/>
      <c r="S881" s="10"/>
      <c r="T881" s="7"/>
      <c r="U881" s="7"/>
    </row>
    <row r="882" spans="1:21" x14ac:dyDescent="0.25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2"/>
      <c r="M882" s="2"/>
      <c r="N882" s="3"/>
      <c r="O882" s="3"/>
      <c r="P882" s="3"/>
      <c r="Q882" s="9"/>
      <c r="R882" s="9"/>
      <c r="S882" s="10"/>
      <c r="T882" s="7"/>
      <c r="U882" s="7"/>
    </row>
    <row r="883" spans="1:21" x14ac:dyDescent="0.25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2"/>
      <c r="M883" s="2"/>
      <c r="N883" s="3"/>
      <c r="O883" s="3"/>
      <c r="P883" s="3"/>
      <c r="Q883" s="9"/>
      <c r="R883" s="9"/>
      <c r="S883" s="10"/>
      <c r="T883" s="7"/>
      <c r="U883" s="7"/>
    </row>
    <row r="884" spans="1:21" x14ac:dyDescent="0.25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2"/>
      <c r="M884" s="2"/>
      <c r="N884" s="3"/>
      <c r="O884" s="3"/>
      <c r="P884" s="3"/>
      <c r="Q884" s="9"/>
      <c r="R884" s="9"/>
      <c r="S884" s="10"/>
      <c r="T884" s="7"/>
      <c r="U884" s="7"/>
    </row>
    <row r="885" spans="1:21" x14ac:dyDescent="0.25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2"/>
      <c r="M885" s="2"/>
      <c r="N885" s="3"/>
      <c r="O885" s="3"/>
      <c r="P885" s="3"/>
      <c r="Q885" s="9"/>
      <c r="R885" s="9"/>
      <c r="S885" s="10"/>
      <c r="T885" s="7"/>
      <c r="U885" s="7"/>
    </row>
    <row r="886" spans="1:21" x14ac:dyDescent="0.25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2"/>
      <c r="M886" s="2"/>
      <c r="N886" s="3"/>
      <c r="O886" s="3"/>
      <c r="P886" s="3"/>
      <c r="Q886" s="9"/>
      <c r="R886" s="9"/>
      <c r="S886" s="10"/>
      <c r="T886" s="7"/>
      <c r="U886" s="7"/>
    </row>
    <row r="887" spans="1:21" x14ac:dyDescent="0.25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2"/>
      <c r="M887" s="2"/>
      <c r="N887" s="3"/>
      <c r="O887" s="3"/>
      <c r="P887" s="3"/>
      <c r="Q887" s="9"/>
      <c r="R887" s="9"/>
      <c r="S887" s="10"/>
      <c r="T887" s="7"/>
      <c r="U887" s="7"/>
    </row>
    <row r="888" spans="1:21" x14ac:dyDescent="0.25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2"/>
      <c r="M888" s="2"/>
      <c r="N888" s="3"/>
      <c r="O888" s="3"/>
      <c r="P888" s="3"/>
      <c r="Q888" s="9"/>
      <c r="R888" s="9"/>
      <c r="S888" s="10"/>
      <c r="T888" s="7"/>
      <c r="U888" s="7"/>
    </row>
    <row r="889" spans="1:21" x14ac:dyDescent="0.25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2"/>
      <c r="M889" s="2"/>
      <c r="N889" s="3"/>
      <c r="O889" s="3"/>
      <c r="P889" s="3"/>
      <c r="Q889" s="9"/>
      <c r="R889" s="9"/>
      <c r="S889" s="10"/>
      <c r="T889" s="7"/>
      <c r="U889" s="7"/>
    </row>
    <row r="890" spans="1:21" x14ac:dyDescent="0.25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2"/>
      <c r="M890" s="2"/>
      <c r="N890" s="3"/>
      <c r="O890" s="3"/>
      <c r="P890" s="3"/>
      <c r="Q890" s="9"/>
      <c r="R890" s="9"/>
      <c r="S890" s="10"/>
      <c r="T890" s="7"/>
      <c r="U890" s="7"/>
    </row>
    <row r="891" spans="1:21" x14ac:dyDescent="0.25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2"/>
      <c r="M891" s="2"/>
      <c r="N891" s="3"/>
      <c r="O891" s="3"/>
      <c r="P891" s="3"/>
      <c r="Q891" s="9"/>
      <c r="R891" s="9"/>
      <c r="S891" s="10"/>
      <c r="T891" s="7"/>
      <c r="U891" s="7"/>
    </row>
    <row r="892" spans="1:21" x14ac:dyDescent="0.25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2"/>
      <c r="M892" s="2"/>
      <c r="N892" s="3"/>
      <c r="O892" s="3"/>
      <c r="P892" s="3"/>
      <c r="Q892" s="9"/>
      <c r="R892" s="9"/>
      <c r="S892" s="10"/>
      <c r="T892" s="7"/>
      <c r="U892" s="7"/>
    </row>
    <row r="893" spans="1:21" x14ac:dyDescent="0.25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2"/>
      <c r="M893" s="2"/>
      <c r="N893" s="3"/>
      <c r="O893" s="3"/>
      <c r="P893" s="3"/>
      <c r="Q893" s="9"/>
      <c r="R893" s="9"/>
      <c r="S893" s="10"/>
      <c r="T893" s="7"/>
      <c r="U893" s="7"/>
    </row>
    <row r="894" spans="1:21" x14ac:dyDescent="0.25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2"/>
      <c r="M894" s="2"/>
      <c r="N894" s="3"/>
      <c r="O894" s="3"/>
      <c r="P894" s="3"/>
      <c r="Q894" s="9"/>
      <c r="R894" s="9"/>
      <c r="S894" s="10"/>
      <c r="T894" s="7"/>
      <c r="U894" s="7"/>
    </row>
    <row r="895" spans="1:21" x14ac:dyDescent="0.25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2"/>
      <c r="M895" s="2"/>
      <c r="N895" s="3"/>
      <c r="O895" s="3"/>
      <c r="P895" s="3"/>
      <c r="Q895" s="9"/>
      <c r="R895" s="9"/>
      <c r="S895" s="10"/>
      <c r="T895" s="7"/>
      <c r="U895" s="7"/>
    </row>
    <row r="896" spans="1:21" x14ac:dyDescent="0.25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2"/>
      <c r="M896" s="2"/>
      <c r="N896" s="3"/>
      <c r="O896" s="3"/>
      <c r="P896" s="3"/>
      <c r="Q896" s="9"/>
      <c r="R896" s="9"/>
      <c r="S896" s="10"/>
      <c r="T896" s="7"/>
      <c r="U896" s="7"/>
    </row>
    <row r="897" spans="1:21" x14ac:dyDescent="0.25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2"/>
      <c r="M897" s="2"/>
      <c r="N897" s="3"/>
      <c r="O897" s="3"/>
      <c r="P897" s="3"/>
      <c r="Q897" s="9"/>
      <c r="R897" s="9"/>
      <c r="S897" s="10"/>
      <c r="T897" s="7"/>
      <c r="U897" s="7"/>
    </row>
    <row r="898" spans="1:21" x14ac:dyDescent="0.25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2"/>
      <c r="M898" s="2"/>
      <c r="N898" s="3"/>
      <c r="O898" s="3"/>
      <c r="P898" s="3"/>
      <c r="Q898" s="9"/>
      <c r="R898" s="9"/>
      <c r="S898" s="10"/>
      <c r="T898" s="7"/>
      <c r="U898" s="7"/>
    </row>
    <row r="899" spans="1:21" x14ac:dyDescent="0.25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2"/>
      <c r="M899" s="2"/>
      <c r="N899" s="3"/>
      <c r="O899" s="3"/>
      <c r="P899" s="3"/>
      <c r="Q899" s="9"/>
      <c r="R899" s="9"/>
      <c r="S899" s="10"/>
      <c r="T899" s="7"/>
      <c r="U899" s="7"/>
    </row>
    <row r="900" spans="1:21" x14ac:dyDescent="0.25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2"/>
      <c r="M900" s="2"/>
      <c r="N900" s="3"/>
      <c r="O900" s="3"/>
      <c r="P900" s="3"/>
      <c r="Q900" s="9"/>
      <c r="R900" s="9"/>
      <c r="S900" s="10"/>
      <c r="T900" s="7"/>
      <c r="U900" s="7"/>
    </row>
    <row r="901" spans="1:21" x14ac:dyDescent="0.25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2"/>
      <c r="M901" s="2"/>
      <c r="N901" s="3"/>
      <c r="O901" s="3"/>
      <c r="P901" s="3"/>
      <c r="Q901" s="9"/>
      <c r="R901" s="9"/>
      <c r="S901" s="10"/>
      <c r="T901" s="7"/>
      <c r="U901" s="7"/>
    </row>
    <row r="902" spans="1:21" x14ac:dyDescent="0.25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2"/>
      <c r="M902" s="2"/>
      <c r="N902" s="3"/>
      <c r="O902" s="3"/>
      <c r="P902" s="3"/>
      <c r="Q902" s="9"/>
      <c r="R902" s="9"/>
      <c r="S902" s="10"/>
      <c r="T902" s="7"/>
      <c r="U902" s="7"/>
    </row>
    <row r="903" spans="1:21" x14ac:dyDescent="0.25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2"/>
      <c r="M903" s="2"/>
      <c r="N903" s="3"/>
      <c r="O903" s="3"/>
      <c r="P903" s="3"/>
      <c r="Q903" s="9"/>
      <c r="R903" s="9"/>
      <c r="S903" s="10"/>
      <c r="T903" s="7"/>
      <c r="U903" s="7"/>
    </row>
    <row r="904" spans="1:21" x14ac:dyDescent="0.25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2"/>
      <c r="M904" s="2"/>
      <c r="N904" s="3"/>
      <c r="O904" s="3"/>
      <c r="P904" s="3"/>
      <c r="Q904" s="9"/>
      <c r="R904" s="9"/>
      <c r="S904" s="10"/>
      <c r="T904" s="7"/>
      <c r="U904" s="7"/>
    </row>
    <row r="905" spans="1:21" x14ac:dyDescent="0.25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2"/>
      <c r="M905" s="2"/>
      <c r="N905" s="3"/>
      <c r="O905" s="3"/>
      <c r="P905" s="3"/>
      <c r="Q905" s="9"/>
      <c r="R905" s="9"/>
      <c r="S905" s="10"/>
      <c r="T905" s="7"/>
      <c r="U905" s="7"/>
    </row>
    <row r="906" spans="1:21" x14ac:dyDescent="0.25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2"/>
      <c r="M906" s="2"/>
      <c r="N906" s="3"/>
      <c r="O906" s="3"/>
      <c r="P906" s="3"/>
      <c r="Q906" s="9"/>
      <c r="R906" s="9"/>
      <c r="S906" s="10"/>
      <c r="T906" s="7"/>
      <c r="U906" s="7"/>
    </row>
    <row r="907" spans="1:21" x14ac:dyDescent="0.25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2"/>
      <c r="M907" s="2"/>
      <c r="N907" s="3"/>
      <c r="O907" s="3"/>
      <c r="P907" s="3"/>
      <c r="Q907" s="9"/>
      <c r="R907" s="9"/>
      <c r="S907" s="10"/>
      <c r="T907" s="7"/>
      <c r="U907" s="7"/>
    </row>
    <row r="908" spans="1:21" x14ac:dyDescent="0.25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2"/>
      <c r="M908" s="2"/>
      <c r="N908" s="3"/>
      <c r="O908" s="3"/>
      <c r="P908" s="3"/>
      <c r="Q908" s="9"/>
      <c r="R908" s="9"/>
      <c r="S908" s="10"/>
      <c r="T908" s="7"/>
      <c r="U908" s="7"/>
    </row>
    <row r="909" spans="1:21" x14ac:dyDescent="0.25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2"/>
      <c r="M909" s="2"/>
      <c r="N909" s="3"/>
      <c r="O909" s="3"/>
      <c r="P909" s="3"/>
      <c r="Q909" s="9"/>
      <c r="R909" s="9"/>
      <c r="S909" s="10"/>
      <c r="T909" s="7"/>
      <c r="U909" s="7"/>
    </row>
    <row r="910" spans="1:21" x14ac:dyDescent="0.25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2"/>
      <c r="M910" s="2"/>
      <c r="N910" s="3"/>
      <c r="O910" s="3"/>
      <c r="P910" s="3"/>
      <c r="Q910" s="9"/>
      <c r="R910" s="9"/>
      <c r="S910" s="10"/>
      <c r="T910" s="7"/>
      <c r="U910" s="7"/>
    </row>
    <row r="911" spans="1:21" x14ac:dyDescent="0.25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2"/>
      <c r="M911" s="2"/>
      <c r="N911" s="3"/>
      <c r="O911" s="3"/>
      <c r="P911" s="3"/>
      <c r="Q911" s="9"/>
      <c r="R911" s="9"/>
      <c r="S911" s="10"/>
      <c r="T911" s="7"/>
      <c r="U911" s="7"/>
    </row>
    <row r="912" spans="1:21" x14ac:dyDescent="0.25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2"/>
      <c r="M912" s="2"/>
      <c r="N912" s="3"/>
      <c r="O912" s="3"/>
      <c r="P912" s="3"/>
      <c r="Q912" s="9"/>
      <c r="R912" s="9"/>
      <c r="S912" s="10"/>
      <c r="T912" s="7"/>
      <c r="U912" s="7"/>
    </row>
    <row r="913" spans="1:21" x14ac:dyDescent="0.25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2"/>
      <c r="M913" s="2"/>
      <c r="N913" s="3"/>
      <c r="O913" s="3"/>
      <c r="P913" s="3"/>
      <c r="Q913" s="9"/>
      <c r="R913" s="9"/>
      <c r="S913" s="10"/>
      <c r="T913" s="7"/>
      <c r="U913" s="7"/>
    </row>
    <row r="914" spans="1:21" x14ac:dyDescent="0.25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2"/>
      <c r="M914" s="2"/>
      <c r="N914" s="3"/>
      <c r="O914" s="3"/>
      <c r="P914" s="3"/>
      <c r="Q914" s="9"/>
      <c r="R914" s="9"/>
      <c r="S914" s="10"/>
      <c r="T914" s="7"/>
      <c r="U914" s="7"/>
    </row>
    <row r="915" spans="1:21" x14ac:dyDescent="0.25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2"/>
      <c r="M915" s="2"/>
      <c r="N915" s="3"/>
      <c r="O915" s="3"/>
      <c r="P915" s="3"/>
      <c r="Q915" s="9"/>
      <c r="R915" s="9"/>
      <c r="S915" s="10"/>
      <c r="T915" s="7"/>
      <c r="U915" s="7"/>
    </row>
    <row r="916" spans="1:21" x14ac:dyDescent="0.25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2"/>
      <c r="M916" s="2"/>
      <c r="N916" s="3"/>
      <c r="O916" s="3"/>
      <c r="P916" s="3"/>
      <c r="Q916" s="9"/>
      <c r="R916" s="9"/>
      <c r="S916" s="10"/>
      <c r="T916" s="7"/>
      <c r="U916" s="7"/>
    </row>
    <row r="917" spans="1:21" x14ac:dyDescent="0.25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2"/>
      <c r="M917" s="2"/>
      <c r="N917" s="3"/>
      <c r="O917" s="3"/>
      <c r="P917" s="3"/>
      <c r="Q917" s="9"/>
      <c r="R917" s="9"/>
      <c r="S917" s="10"/>
      <c r="T917" s="7"/>
      <c r="U917" s="7"/>
    </row>
    <row r="918" spans="1:21" x14ac:dyDescent="0.25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2"/>
      <c r="M918" s="2"/>
      <c r="N918" s="3"/>
      <c r="O918" s="3"/>
      <c r="P918" s="3"/>
      <c r="Q918" s="9"/>
      <c r="R918" s="9"/>
      <c r="S918" s="10"/>
      <c r="T918" s="7"/>
      <c r="U918" s="7"/>
    </row>
    <row r="919" spans="1:21" x14ac:dyDescent="0.25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2"/>
      <c r="M919" s="2"/>
      <c r="N919" s="3"/>
      <c r="O919" s="3"/>
      <c r="P919" s="3"/>
      <c r="Q919" s="9"/>
      <c r="R919" s="9"/>
      <c r="S919" s="10"/>
      <c r="T919" s="7"/>
      <c r="U919" s="7"/>
    </row>
    <row r="920" spans="1:21" x14ac:dyDescent="0.25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2"/>
      <c r="M920" s="2"/>
      <c r="N920" s="3"/>
      <c r="O920" s="3"/>
      <c r="P920" s="3"/>
      <c r="Q920" s="9"/>
      <c r="R920" s="9"/>
      <c r="S920" s="10"/>
      <c r="T920" s="7"/>
      <c r="U920" s="7"/>
    </row>
    <row r="921" spans="1:21" x14ac:dyDescent="0.25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2"/>
      <c r="M921" s="2"/>
      <c r="N921" s="3"/>
      <c r="O921" s="3"/>
      <c r="P921" s="3"/>
      <c r="Q921" s="9"/>
      <c r="R921" s="9"/>
      <c r="S921" s="10"/>
      <c r="T921" s="7"/>
      <c r="U921" s="7"/>
    </row>
    <row r="922" spans="1:21" x14ac:dyDescent="0.25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2"/>
      <c r="M922" s="2"/>
      <c r="N922" s="3"/>
      <c r="O922" s="3"/>
      <c r="P922" s="3"/>
      <c r="Q922" s="9"/>
      <c r="R922" s="9"/>
      <c r="S922" s="10"/>
      <c r="T922" s="7"/>
      <c r="U922" s="7"/>
    </row>
    <row r="923" spans="1:21" x14ac:dyDescent="0.25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2"/>
      <c r="M923" s="2"/>
      <c r="N923" s="3"/>
      <c r="O923" s="3"/>
      <c r="P923" s="3"/>
      <c r="Q923" s="9"/>
      <c r="R923" s="9"/>
      <c r="S923" s="10"/>
      <c r="T923" s="7"/>
      <c r="U923" s="7"/>
    </row>
    <row r="924" spans="1:21" x14ac:dyDescent="0.25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2"/>
      <c r="M924" s="2"/>
      <c r="N924" s="3"/>
      <c r="O924" s="3"/>
      <c r="P924" s="3"/>
      <c r="Q924" s="9"/>
      <c r="R924" s="9"/>
      <c r="S924" s="10"/>
      <c r="T924" s="7"/>
      <c r="U924" s="7"/>
    </row>
    <row r="925" spans="1:21" x14ac:dyDescent="0.25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2"/>
      <c r="M925" s="2"/>
      <c r="N925" s="3"/>
      <c r="O925" s="3"/>
      <c r="P925" s="3"/>
      <c r="Q925" s="9"/>
      <c r="R925" s="9"/>
      <c r="S925" s="10"/>
      <c r="T925" s="7"/>
      <c r="U925" s="7"/>
    </row>
    <row r="926" spans="1:21" x14ac:dyDescent="0.25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2"/>
      <c r="M926" s="2"/>
      <c r="N926" s="3"/>
      <c r="O926" s="3"/>
      <c r="P926" s="3"/>
      <c r="Q926" s="9"/>
      <c r="R926" s="9"/>
      <c r="S926" s="10"/>
      <c r="T926" s="7"/>
      <c r="U926" s="7"/>
    </row>
    <row r="927" spans="1:21" x14ac:dyDescent="0.25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2"/>
      <c r="M927" s="2"/>
      <c r="N927" s="3"/>
      <c r="O927" s="3"/>
      <c r="P927" s="3"/>
      <c r="Q927" s="9"/>
      <c r="R927" s="9"/>
      <c r="S927" s="10"/>
      <c r="T927" s="7"/>
      <c r="U927" s="7"/>
    </row>
    <row r="928" spans="1:21" x14ac:dyDescent="0.25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2"/>
      <c r="M928" s="2"/>
      <c r="N928" s="3"/>
      <c r="O928" s="3"/>
      <c r="P928" s="3"/>
      <c r="Q928" s="9"/>
      <c r="R928" s="9"/>
      <c r="S928" s="10"/>
      <c r="T928" s="7"/>
      <c r="U928" s="7"/>
    </row>
    <row r="929" spans="1:21" x14ac:dyDescent="0.25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2"/>
      <c r="M929" s="2"/>
      <c r="N929" s="3"/>
      <c r="O929" s="3"/>
      <c r="P929" s="3"/>
      <c r="Q929" s="9"/>
      <c r="R929" s="9"/>
      <c r="S929" s="10"/>
      <c r="T929" s="7"/>
      <c r="U929" s="7"/>
    </row>
    <row r="930" spans="1:21" x14ac:dyDescent="0.25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2"/>
      <c r="M930" s="2"/>
      <c r="N930" s="3"/>
      <c r="O930" s="3"/>
      <c r="P930" s="3"/>
      <c r="Q930" s="9"/>
      <c r="R930" s="9"/>
      <c r="S930" s="10"/>
      <c r="T930" s="7"/>
      <c r="U930" s="7"/>
    </row>
    <row r="931" spans="1:21" x14ac:dyDescent="0.25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2"/>
      <c r="M931" s="2"/>
      <c r="N931" s="3"/>
      <c r="O931" s="3"/>
      <c r="P931" s="3"/>
      <c r="Q931" s="9"/>
      <c r="R931" s="9"/>
      <c r="S931" s="10"/>
      <c r="T931" s="7"/>
      <c r="U931" s="7"/>
    </row>
    <row r="932" spans="1:21" x14ac:dyDescent="0.25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2"/>
      <c r="M932" s="2"/>
      <c r="N932" s="3"/>
      <c r="O932" s="3"/>
      <c r="P932" s="3"/>
      <c r="Q932" s="9"/>
      <c r="R932" s="9"/>
      <c r="S932" s="10"/>
      <c r="T932" s="7"/>
      <c r="U932" s="7"/>
    </row>
    <row r="933" spans="1:21" x14ac:dyDescent="0.25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2"/>
      <c r="M933" s="2"/>
      <c r="N933" s="3"/>
      <c r="O933" s="3"/>
      <c r="P933" s="3"/>
      <c r="Q933" s="9"/>
      <c r="R933" s="9"/>
      <c r="S933" s="10"/>
      <c r="T933" s="7"/>
      <c r="U933" s="7"/>
    </row>
    <row r="934" spans="1:21" x14ac:dyDescent="0.25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2"/>
      <c r="M934" s="2"/>
      <c r="N934" s="3"/>
      <c r="O934" s="3"/>
      <c r="P934" s="3"/>
      <c r="Q934" s="9"/>
      <c r="R934" s="9"/>
      <c r="S934" s="10"/>
      <c r="T934" s="7"/>
      <c r="U934" s="7"/>
    </row>
    <row r="935" spans="1:21" x14ac:dyDescent="0.25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2"/>
      <c r="M935" s="2"/>
      <c r="N935" s="3"/>
      <c r="O935" s="3"/>
      <c r="P935" s="3"/>
      <c r="Q935" s="9"/>
      <c r="R935" s="9"/>
      <c r="S935" s="10"/>
      <c r="T935" s="7"/>
      <c r="U935" s="7"/>
    </row>
    <row r="936" spans="1:21" x14ac:dyDescent="0.25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2"/>
      <c r="M936" s="2"/>
      <c r="N936" s="3"/>
      <c r="O936" s="3"/>
      <c r="P936" s="3"/>
      <c r="Q936" s="9"/>
      <c r="R936" s="9"/>
      <c r="S936" s="10"/>
      <c r="T936" s="7"/>
      <c r="U936" s="7"/>
    </row>
    <row r="937" spans="1:21" x14ac:dyDescent="0.25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2"/>
      <c r="M937" s="2"/>
      <c r="N937" s="3"/>
      <c r="O937" s="3"/>
      <c r="P937" s="3"/>
      <c r="Q937" s="9"/>
      <c r="R937" s="9"/>
      <c r="S937" s="10"/>
      <c r="T937" s="7"/>
      <c r="U937" s="7"/>
    </row>
    <row r="938" spans="1:21" x14ac:dyDescent="0.25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2"/>
      <c r="M938" s="2"/>
      <c r="N938" s="3"/>
      <c r="O938" s="3"/>
      <c r="P938" s="3"/>
      <c r="Q938" s="9"/>
      <c r="R938" s="9"/>
      <c r="S938" s="10"/>
      <c r="T938" s="7"/>
      <c r="U938" s="7"/>
    </row>
    <row r="939" spans="1:21" x14ac:dyDescent="0.25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2"/>
      <c r="M939" s="2"/>
      <c r="N939" s="3"/>
      <c r="O939" s="3"/>
      <c r="P939" s="3"/>
      <c r="Q939" s="9"/>
      <c r="R939" s="9"/>
      <c r="S939" s="10"/>
      <c r="T939" s="7"/>
      <c r="U939" s="7"/>
    </row>
    <row r="940" spans="1:21" x14ac:dyDescent="0.25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2"/>
      <c r="M940" s="2"/>
      <c r="N940" s="3"/>
      <c r="O940" s="3"/>
      <c r="P940" s="3"/>
      <c r="Q940" s="9"/>
      <c r="R940" s="9"/>
      <c r="S940" s="10"/>
      <c r="T940" s="7"/>
      <c r="U940" s="7"/>
    </row>
    <row r="941" spans="1:21" x14ac:dyDescent="0.25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2"/>
      <c r="M941" s="2"/>
      <c r="N941" s="2"/>
      <c r="O941" s="2"/>
      <c r="P941" s="2"/>
      <c r="Q941" s="9"/>
      <c r="R941" s="7"/>
      <c r="S941" s="10"/>
      <c r="T941" s="7"/>
      <c r="U941" s="7"/>
    </row>
    <row r="942" spans="1:21" x14ac:dyDescent="0.25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2"/>
      <c r="M942" s="2"/>
      <c r="N942" s="2"/>
      <c r="O942" s="2"/>
      <c r="P942" s="2"/>
      <c r="Q942" s="9"/>
      <c r="R942" s="7"/>
      <c r="S942" s="10"/>
      <c r="T942" s="7"/>
      <c r="U942" s="7"/>
    </row>
    <row r="943" spans="1:21" x14ac:dyDescent="0.25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2"/>
      <c r="M943" s="2"/>
      <c r="N943" s="2"/>
      <c r="O943" s="2"/>
      <c r="P943" s="2"/>
      <c r="Q943" s="9"/>
      <c r="R943" s="7"/>
      <c r="S943" s="10"/>
      <c r="T943" s="7"/>
      <c r="U943" s="7"/>
    </row>
    <row r="944" spans="1:21" x14ac:dyDescent="0.25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2"/>
      <c r="M944" s="2"/>
      <c r="N944" s="2"/>
      <c r="O944" s="2"/>
      <c r="P944" s="2"/>
      <c r="Q944" s="9"/>
      <c r="R944" s="7"/>
      <c r="S944" s="10"/>
      <c r="T944" s="7"/>
      <c r="U944" s="7"/>
    </row>
    <row r="945" spans="1:21" x14ac:dyDescent="0.25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2"/>
      <c r="M945" s="2"/>
      <c r="N945" s="2"/>
      <c r="O945" s="2"/>
      <c r="P945" s="2"/>
      <c r="Q945" s="9"/>
      <c r="R945" s="7"/>
      <c r="S945" s="10"/>
      <c r="T945" s="7"/>
      <c r="U945" s="7"/>
    </row>
    <row r="946" spans="1:21" x14ac:dyDescent="0.25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2"/>
      <c r="M946" s="2"/>
      <c r="N946" s="2"/>
      <c r="O946" s="2"/>
      <c r="P946" s="2"/>
      <c r="Q946" s="9"/>
      <c r="R946" s="7"/>
      <c r="S946" s="10"/>
      <c r="T946" s="7"/>
      <c r="U946" s="7"/>
    </row>
    <row r="947" spans="1:21" x14ac:dyDescent="0.25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2"/>
      <c r="M947" s="2"/>
      <c r="N947" s="2"/>
      <c r="O947" s="2"/>
      <c r="P947" s="2"/>
      <c r="Q947" s="9"/>
      <c r="R947" s="7"/>
      <c r="S947" s="10"/>
      <c r="T947" s="7"/>
      <c r="U947" s="7"/>
    </row>
    <row r="948" spans="1:21" x14ac:dyDescent="0.25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2"/>
      <c r="M948" s="2"/>
      <c r="N948" s="2"/>
      <c r="O948" s="2"/>
      <c r="P948" s="2"/>
      <c r="Q948" s="9"/>
      <c r="R948" s="7"/>
      <c r="S948" s="10"/>
      <c r="T948" s="7"/>
      <c r="U948" s="7"/>
    </row>
    <row r="949" spans="1:21" x14ac:dyDescent="0.25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2"/>
      <c r="M949" s="2"/>
      <c r="N949" s="2"/>
      <c r="O949" s="2"/>
      <c r="P949" s="2"/>
      <c r="Q949" s="9"/>
      <c r="R949" s="7"/>
      <c r="S949" s="10"/>
      <c r="T949" s="7"/>
      <c r="U949" s="7"/>
    </row>
    <row r="950" spans="1:21" x14ac:dyDescent="0.25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2"/>
      <c r="M950" s="2"/>
      <c r="N950" s="2"/>
      <c r="O950" s="2"/>
      <c r="P950" s="2"/>
      <c r="Q950" s="9"/>
      <c r="R950" s="7"/>
      <c r="S950" s="10"/>
      <c r="T950" s="7"/>
      <c r="U950" s="7"/>
    </row>
    <row r="951" spans="1:21" x14ac:dyDescent="0.25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2"/>
      <c r="M951" s="2"/>
      <c r="N951" s="2"/>
      <c r="O951" s="2"/>
      <c r="P951" s="2"/>
      <c r="Q951" s="9"/>
      <c r="R951" s="7"/>
      <c r="S951" s="10"/>
      <c r="T951" s="7"/>
      <c r="U951" s="7"/>
    </row>
    <row r="952" spans="1:21" x14ac:dyDescent="0.25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2"/>
      <c r="M952" s="2"/>
      <c r="N952" s="2"/>
      <c r="O952" s="2"/>
      <c r="P952" s="2"/>
      <c r="Q952" s="9"/>
      <c r="R952" s="7"/>
      <c r="S952" s="10"/>
      <c r="T952" s="7"/>
      <c r="U952" s="7"/>
    </row>
    <row r="953" spans="1:21" x14ac:dyDescent="0.25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2"/>
      <c r="M953" s="2"/>
      <c r="N953" s="2"/>
      <c r="O953" s="2"/>
      <c r="P953" s="2"/>
      <c r="Q953" s="9"/>
      <c r="R953" s="7"/>
      <c r="S953" s="10"/>
      <c r="T953" s="7"/>
      <c r="U953" s="7"/>
    </row>
    <row r="954" spans="1:21" x14ac:dyDescent="0.25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2"/>
      <c r="M954" s="2"/>
      <c r="N954" s="2"/>
      <c r="O954" s="2"/>
      <c r="P954" s="2"/>
      <c r="Q954" s="9"/>
      <c r="R954" s="7"/>
      <c r="S954" s="10"/>
      <c r="T954" s="7"/>
      <c r="U954" s="7"/>
    </row>
    <row r="955" spans="1:21" x14ac:dyDescent="0.25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2"/>
      <c r="M955" s="2"/>
      <c r="N955" s="2"/>
      <c r="O955" s="2"/>
      <c r="P955" s="2"/>
      <c r="Q955" s="9"/>
      <c r="R955" s="7"/>
      <c r="S955" s="10"/>
      <c r="T955" s="7"/>
      <c r="U955" s="7"/>
    </row>
    <row r="956" spans="1:21" x14ac:dyDescent="0.25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2"/>
      <c r="M956" s="2"/>
      <c r="N956" s="2"/>
      <c r="O956" s="2"/>
      <c r="P956" s="2"/>
      <c r="Q956" s="9"/>
      <c r="R956" s="7"/>
      <c r="S956" s="10"/>
      <c r="T956" s="7"/>
      <c r="U956" s="7"/>
    </row>
    <row r="957" spans="1:21" x14ac:dyDescent="0.25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2"/>
      <c r="M957" s="2"/>
      <c r="N957" s="2"/>
      <c r="O957" s="2"/>
      <c r="P957" s="2"/>
      <c r="Q957" s="9"/>
      <c r="R957" s="7"/>
      <c r="S957" s="10"/>
      <c r="T957" s="7"/>
      <c r="U957" s="7"/>
    </row>
    <row r="958" spans="1:21" x14ac:dyDescent="0.25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2"/>
      <c r="M958" s="2"/>
      <c r="N958" s="2"/>
      <c r="O958" s="2"/>
      <c r="P958" s="2"/>
      <c r="Q958" s="9"/>
      <c r="R958" s="7"/>
      <c r="S958" s="10"/>
      <c r="T958" s="7"/>
      <c r="U958" s="7"/>
    </row>
    <row r="959" spans="1:21" x14ac:dyDescent="0.25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2"/>
      <c r="M959" s="2"/>
      <c r="N959" s="2"/>
      <c r="O959" s="2"/>
      <c r="P959" s="2"/>
      <c r="Q959" s="9"/>
      <c r="R959" s="7"/>
      <c r="S959" s="10"/>
      <c r="T959" s="7"/>
      <c r="U959" s="7"/>
    </row>
    <row r="960" spans="1:21" x14ac:dyDescent="0.25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2"/>
      <c r="M960" s="2"/>
      <c r="N960" s="2"/>
      <c r="O960" s="2"/>
      <c r="P960" s="2"/>
      <c r="Q960" s="9"/>
      <c r="R960" s="7"/>
      <c r="S960" s="10"/>
      <c r="T960" s="7"/>
      <c r="U960" s="7"/>
    </row>
    <row r="961" spans="1:21" x14ac:dyDescent="0.25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2"/>
      <c r="M961" s="2"/>
      <c r="N961" s="2"/>
      <c r="O961" s="2"/>
      <c r="P961" s="2"/>
      <c r="Q961" s="9"/>
      <c r="R961" s="7"/>
      <c r="S961" s="10"/>
      <c r="T961" s="7"/>
      <c r="U961" s="7"/>
    </row>
    <row r="962" spans="1:21" x14ac:dyDescent="0.25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2"/>
      <c r="M962" s="2"/>
      <c r="N962" s="2"/>
      <c r="O962" s="2"/>
      <c r="P962" s="2"/>
      <c r="Q962" s="9"/>
      <c r="R962" s="7"/>
      <c r="S962" s="10"/>
      <c r="T962" s="7"/>
      <c r="U962" s="7"/>
    </row>
    <row r="963" spans="1:21" x14ac:dyDescent="0.25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2"/>
      <c r="M963" s="2"/>
      <c r="N963" s="2"/>
      <c r="O963" s="2"/>
      <c r="P963" s="2"/>
      <c r="Q963" s="9"/>
      <c r="R963" s="7"/>
      <c r="S963" s="10"/>
      <c r="T963" s="7"/>
      <c r="U963" s="7"/>
    </row>
    <row r="964" spans="1:21" x14ac:dyDescent="0.25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2"/>
      <c r="M964" s="2"/>
      <c r="N964" s="2"/>
      <c r="O964" s="2"/>
      <c r="P964" s="2"/>
      <c r="Q964" s="9"/>
      <c r="R964" s="7"/>
      <c r="S964" s="10"/>
      <c r="T964" s="7"/>
      <c r="U964" s="7"/>
    </row>
    <row r="965" spans="1:21" x14ac:dyDescent="0.25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2"/>
      <c r="M965" s="2"/>
      <c r="N965" s="2"/>
      <c r="O965" s="2"/>
      <c r="P965" s="2"/>
      <c r="Q965" s="9"/>
      <c r="R965" s="7"/>
      <c r="S965" s="10"/>
      <c r="T965" s="7"/>
      <c r="U965" s="7"/>
    </row>
    <row r="966" spans="1:21" x14ac:dyDescent="0.25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2"/>
      <c r="M966" s="2"/>
      <c r="N966" s="2"/>
      <c r="O966" s="2"/>
      <c r="P966" s="2"/>
      <c r="Q966" s="9"/>
      <c r="R966" s="7"/>
      <c r="S966" s="10"/>
      <c r="T966" s="7"/>
      <c r="U966" s="7"/>
    </row>
    <row r="967" spans="1:21" x14ac:dyDescent="0.25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2"/>
      <c r="M967" s="2"/>
      <c r="N967" s="2"/>
      <c r="O967" s="2"/>
      <c r="P967" s="2"/>
      <c r="Q967" s="9"/>
      <c r="R967" s="7"/>
      <c r="S967" s="10"/>
      <c r="T967" s="7"/>
      <c r="U967" s="7"/>
    </row>
    <row r="968" spans="1:21" x14ac:dyDescent="0.25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2"/>
      <c r="M968" s="2"/>
      <c r="N968" s="2"/>
      <c r="O968" s="2"/>
      <c r="P968" s="2"/>
      <c r="Q968" s="9"/>
      <c r="R968" s="7"/>
      <c r="S968" s="10"/>
      <c r="T968" s="7"/>
      <c r="U968" s="7"/>
    </row>
    <row r="969" spans="1:21" x14ac:dyDescent="0.25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2"/>
      <c r="M969" s="2"/>
      <c r="N969" s="2"/>
      <c r="O969" s="2"/>
      <c r="P969" s="2"/>
      <c r="Q969" s="9"/>
      <c r="R969" s="7"/>
      <c r="S969" s="10"/>
      <c r="T969" s="7"/>
      <c r="U969" s="7"/>
    </row>
    <row r="970" spans="1:21" x14ac:dyDescent="0.25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2"/>
      <c r="M970" s="2"/>
      <c r="N970" s="2"/>
      <c r="O970" s="2"/>
      <c r="P970" s="2"/>
      <c r="Q970" s="9"/>
      <c r="R970" s="7"/>
      <c r="S970" s="10"/>
      <c r="T970" s="7"/>
      <c r="U970" s="7"/>
    </row>
    <row r="971" spans="1:21" x14ac:dyDescent="0.25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2"/>
      <c r="M971" s="2"/>
      <c r="N971" s="2"/>
      <c r="O971" s="2"/>
      <c r="P971" s="2"/>
      <c r="Q971" s="9"/>
      <c r="R971" s="7"/>
      <c r="S971" s="10"/>
      <c r="T971" s="7"/>
      <c r="U971" s="7"/>
    </row>
    <row r="972" spans="1:21" x14ac:dyDescent="0.25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2"/>
      <c r="M972" s="2"/>
      <c r="N972" s="2"/>
      <c r="O972" s="2"/>
      <c r="P972" s="2"/>
      <c r="Q972" s="9"/>
      <c r="R972" s="7"/>
      <c r="S972" s="10"/>
      <c r="T972" s="7"/>
      <c r="U972" s="7"/>
    </row>
    <row r="973" spans="1:21" x14ac:dyDescent="0.25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2"/>
      <c r="M973" s="2"/>
      <c r="N973" s="2"/>
      <c r="O973" s="2"/>
      <c r="P973" s="2"/>
      <c r="Q973" s="9"/>
      <c r="R973" s="7"/>
      <c r="S973" s="10"/>
      <c r="T973" s="7"/>
      <c r="U973" s="7"/>
    </row>
    <row r="974" spans="1:21" x14ac:dyDescent="0.25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2"/>
      <c r="M974" s="2"/>
      <c r="N974" s="2"/>
      <c r="O974" s="2"/>
      <c r="P974" s="2"/>
      <c r="Q974" s="9"/>
      <c r="R974" s="7"/>
      <c r="S974" s="10"/>
      <c r="T974" s="7"/>
      <c r="U974" s="7"/>
    </row>
    <row r="975" spans="1:21" x14ac:dyDescent="0.25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2"/>
      <c r="M975" s="2"/>
      <c r="N975" s="2"/>
      <c r="O975" s="2"/>
      <c r="P975" s="2"/>
      <c r="Q975" s="9"/>
      <c r="R975" s="7"/>
      <c r="S975" s="10"/>
      <c r="T975" s="7"/>
      <c r="U975" s="7"/>
    </row>
    <row r="976" spans="1:21" x14ac:dyDescent="0.25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2"/>
      <c r="M976" s="2"/>
      <c r="N976" s="2"/>
      <c r="O976" s="2"/>
      <c r="P976" s="2"/>
      <c r="Q976" s="9"/>
      <c r="R976" s="7"/>
      <c r="S976" s="10"/>
      <c r="T976" s="7"/>
      <c r="U976" s="7"/>
    </row>
    <row r="977" spans="1:21" x14ac:dyDescent="0.25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2"/>
      <c r="M977" s="2"/>
      <c r="N977" s="2"/>
      <c r="O977" s="2"/>
      <c r="P977" s="2"/>
      <c r="Q977" s="9"/>
      <c r="R977" s="7"/>
      <c r="S977" s="10"/>
      <c r="T977" s="7"/>
      <c r="U977" s="7"/>
    </row>
    <row r="978" spans="1:21" x14ac:dyDescent="0.25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2"/>
      <c r="M978" s="2"/>
      <c r="N978" s="2"/>
      <c r="O978" s="2"/>
      <c r="P978" s="2"/>
      <c r="Q978" s="9"/>
      <c r="R978" s="7"/>
      <c r="S978" s="10"/>
      <c r="T978" s="7"/>
      <c r="U978" s="7"/>
    </row>
    <row r="979" spans="1:21" x14ac:dyDescent="0.25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2"/>
      <c r="M979" s="2"/>
      <c r="N979" s="2"/>
      <c r="O979" s="2"/>
      <c r="P979" s="2"/>
      <c r="Q979" s="9"/>
      <c r="R979" s="7"/>
      <c r="S979" s="10"/>
      <c r="T979" s="7"/>
      <c r="U979" s="7"/>
    </row>
    <row r="980" spans="1:21" x14ac:dyDescent="0.25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2"/>
      <c r="M980" s="2"/>
      <c r="N980" s="2"/>
      <c r="O980" s="2"/>
      <c r="P980" s="2"/>
      <c r="Q980" s="9"/>
      <c r="R980" s="7"/>
      <c r="S980" s="10"/>
      <c r="T980" s="7"/>
      <c r="U980" s="7"/>
    </row>
    <row r="981" spans="1:21" x14ac:dyDescent="0.25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2"/>
      <c r="M981" s="2"/>
      <c r="N981" s="2"/>
      <c r="O981" s="2"/>
      <c r="P981" s="2"/>
      <c r="Q981" s="9"/>
      <c r="R981" s="7"/>
      <c r="S981" s="10"/>
      <c r="T981" s="7"/>
      <c r="U981" s="7"/>
    </row>
    <row r="982" spans="1:21" x14ac:dyDescent="0.25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2"/>
      <c r="M982" s="2"/>
      <c r="N982" s="2"/>
      <c r="O982" s="2"/>
      <c r="P982" s="2"/>
      <c r="Q982" s="9"/>
      <c r="R982" s="7"/>
      <c r="S982" s="10"/>
      <c r="T982" s="7"/>
      <c r="U982" s="7"/>
    </row>
    <row r="983" spans="1:21" x14ac:dyDescent="0.25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2"/>
      <c r="M983" s="2"/>
      <c r="N983" s="2"/>
      <c r="O983" s="2"/>
      <c r="P983" s="2"/>
      <c r="Q983" s="9"/>
      <c r="R983" s="7"/>
      <c r="S983" s="10"/>
      <c r="T983" s="7"/>
      <c r="U983" s="7"/>
    </row>
    <row r="984" spans="1:21" x14ac:dyDescent="0.25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2"/>
      <c r="M984" s="2"/>
      <c r="N984" s="2"/>
      <c r="O984" s="2"/>
      <c r="P984" s="2"/>
      <c r="Q984" s="9"/>
      <c r="R984" s="7"/>
      <c r="S984" s="10"/>
      <c r="T984" s="7"/>
      <c r="U984" s="7"/>
    </row>
    <row r="985" spans="1:21" x14ac:dyDescent="0.25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2"/>
      <c r="M985" s="2"/>
      <c r="N985" s="2"/>
      <c r="O985" s="2"/>
      <c r="P985" s="2"/>
      <c r="Q985" s="9"/>
      <c r="R985" s="7"/>
      <c r="S985" s="10"/>
      <c r="T985" s="7"/>
      <c r="U985" s="7"/>
    </row>
    <row r="986" spans="1:21" x14ac:dyDescent="0.25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2"/>
      <c r="M986" s="2"/>
      <c r="N986" s="2"/>
      <c r="O986" s="2"/>
      <c r="P986" s="2"/>
      <c r="Q986" s="9"/>
      <c r="R986" s="7"/>
      <c r="S986" s="10"/>
      <c r="T986" s="7"/>
      <c r="U986" s="7"/>
    </row>
    <row r="987" spans="1:21" x14ac:dyDescent="0.25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2"/>
      <c r="M987" s="2"/>
      <c r="N987" s="2"/>
      <c r="O987" s="2"/>
      <c r="P987" s="2"/>
      <c r="Q987" s="9"/>
      <c r="R987" s="7"/>
      <c r="S987" s="10"/>
      <c r="T987" s="7"/>
      <c r="U987" s="7"/>
    </row>
    <row r="988" spans="1:21" x14ac:dyDescent="0.25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2"/>
      <c r="M988" s="2"/>
      <c r="N988" s="2"/>
      <c r="O988" s="2"/>
      <c r="P988" s="2"/>
      <c r="Q988" s="9"/>
      <c r="R988" s="7"/>
      <c r="S988" s="10"/>
      <c r="T988" s="7"/>
      <c r="U988" s="7"/>
    </row>
    <row r="989" spans="1:21" x14ac:dyDescent="0.25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2"/>
      <c r="M989" s="2"/>
      <c r="N989" s="2"/>
      <c r="O989" s="2"/>
      <c r="P989" s="2"/>
      <c r="Q989" s="9"/>
      <c r="R989" s="7"/>
      <c r="S989" s="10"/>
      <c r="T989" s="7"/>
      <c r="U989" s="7"/>
    </row>
    <row r="990" spans="1:21" x14ac:dyDescent="0.25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2"/>
      <c r="M990" s="2"/>
      <c r="N990" s="2"/>
      <c r="O990" s="2"/>
      <c r="P990" s="2"/>
      <c r="Q990" s="9"/>
      <c r="R990" s="7"/>
      <c r="S990" s="10"/>
      <c r="T990" s="7"/>
      <c r="U990" s="7"/>
    </row>
    <row r="991" spans="1:21" x14ac:dyDescent="0.25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2"/>
      <c r="M991" s="2"/>
      <c r="N991" s="2"/>
      <c r="O991" s="2"/>
      <c r="P991" s="2"/>
      <c r="Q991" s="9"/>
      <c r="R991" s="7"/>
      <c r="S991" s="10"/>
      <c r="T991" s="7"/>
      <c r="U991" s="7"/>
    </row>
    <row r="992" spans="1:21" x14ac:dyDescent="0.25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2"/>
      <c r="M992" s="2"/>
      <c r="N992" s="2"/>
      <c r="O992" s="2"/>
      <c r="P992" s="2"/>
      <c r="Q992" s="9"/>
      <c r="R992" s="7"/>
      <c r="S992" s="10"/>
      <c r="T992" s="7"/>
      <c r="U992" s="7"/>
    </row>
    <row r="993" spans="1:21" x14ac:dyDescent="0.25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2"/>
      <c r="M993" s="2"/>
      <c r="N993" s="2"/>
      <c r="O993" s="2"/>
      <c r="P993" s="2"/>
      <c r="Q993" s="9"/>
      <c r="R993" s="7"/>
      <c r="S993" s="10"/>
      <c r="T993" s="7"/>
      <c r="U993" s="7"/>
    </row>
    <row r="994" spans="1:21" x14ac:dyDescent="0.25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2"/>
      <c r="M994" s="2"/>
      <c r="N994" s="2"/>
      <c r="O994" s="2"/>
      <c r="P994" s="2"/>
      <c r="Q994" s="9"/>
      <c r="R994" s="7"/>
      <c r="S994" s="10"/>
      <c r="T994" s="7"/>
      <c r="U994" s="7"/>
    </row>
    <row r="995" spans="1:21" x14ac:dyDescent="0.25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2"/>
      <c r="M995" s="2"/>
      <c r="N995" s="2"/>
      <c r="O995" s="2"/>
      <c r="P995" s="2"/>
      <c r="Q995" s="9"/>
      <c r="R995" s="7"/>
      <c r="S995" s="10"/>
      <c r="T995" s="7"/>
      <c r="U995" s="7"/>
    </row>
    <row r="996" spans="1:21" x14ac:dyDescent="0.25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2"/>
      <c r="M996" s="2"/>
      <c r="N996" s="2"/>
      <c r="O996" s="2"/>
      <c r="P996" s="2"/>
      <c r="Q996" s="9"/>
      <c r="R996" s="7"/>
      <c r="S996" s="10"/>
      <c r="T996" s="7"/>
      <c r="U996" s="7"/>
    </row>
    <row r="997" spans="1:21" x14ac:dyDescent="0.25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2"/>
      <c r="M997" s="2"/>
      <c r="N997" s="2"/>
      <c r="O997" s="2"/>
      <c r="P997" s="2"/>
      <c r="Q997" s="9"/>
      <c r="R997" s="7"/>
      <c r="S997" s="10"/>
      <c r="T997" s="7"/>
      <c r="U997" s="7"/>
    </row>
    <row r="998" spans="1:21" x14ac:dyDescent="0.25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2"/>
      <c r="M998" s="2"/>
      <c r="N998" s="2"/>
      <c r="O998" s="2"/>
      <c r="P998" s="2"/>
      <c r="Q998" s="9"/>
      <c r="R998" s="7"/>
      <c r="S998" s="10"/>
      <c r="T998" s="7"/>
      <c r="U998" s="7"/>
    </row>
    <row r="999" spans="1:21" x14ac:dyDescent="0.25">
      <c r="A999" s="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2"/>
      <c r="M999" s="2"/>
      <c r="N999" s="2"/>
      <c r="O999" s="2"/>
      <c r="P999" s="2"/>
      <c r="Q999" s="9"/>
      <c r="R999" s="7"/>
      <c r="S999" s="10"/>
      <c r="T999" s="7"/>
      <c r="U999" s="7"/>
    </row>
    <row r="1000" spans="1:21" x14ac:dyDescent="0.25">
      <c r="A1000" s="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2"/>
      <c r="M1000" s="2"/>
      <c r="N1000" s="2"/>
      <c r="O1000" s="2"/>
      <c r="P1000" s="2"/>
      <c r="Q1000" s="9"/>
      <c r="R1000" s="7"/>
      <c r="S1000" s="10"/>
      <c r="T1000" s="7"/>
      <c r="U1000" s="7"/>
    </row>
    <row r="1001" spans="1:21" x14ac:dyDescent="0.25">
      <c r="A1001" s="4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2"/>
      <c r="M1001" s="2"/>
      <c r="N1001" s="2"/>
      <c r="O1001" s="2"/>
      <c r="P1001" s="2"/>
      <c r="Q1001" s="9"/>
      <c r="R1001" s="7"/>
      <c r="S1001" s="10"/>
      <c r="T1001" s="7"/>
      <c r="U1001" s="7"/>
    </row>
    <row r="1002" spans="1:21" x14ac:dyDescent="0.25">
      <c r="A1002" s="4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2"/>
      <c r="M1002" s="2"/>
      <c r="N1002" s="2"/>
      <c r="O1002" s="2"/>
      <c r="P1002" s="2"/>
      <c r="Q1002" s="9"/>
      <c r="R1002" s="7"/>
      <c r="S1002" s="10"/>
      <c r="T1002" s="7"/>
      <c r="U1002" s="7"/>
    </row>
    <row r="1003" spans="1:21" x14ac:dyDescent="0.25">
      <c r="A1003" s="4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2"/>
      <c r="M1003" s="2"/>
      <c r="N1003" s="2"/>
      <c r="O1003" s="2"/>
      <c r="P1003" s="2"/>
      <c r="Q1003" s="9"/>
      <c r="R1003" s="7"/>
      <c r="S1003" s="10"/>
      <c r="T1003" s="7"/>
      <c r="U1003" s="7"/>
    </row>
    <row r="1004" spans="1:21" x14ac:dyDescent="0.25">
      <c r="A1004" s="4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2"/>
      <c r="M1004" s="2"/>
      <c r="N1004" s="2"/>
      <c r="O1004" s="2"/>
      <c r="P1004" s="2"/>
      <c r="Q1004" s="9"/>
      <c r="R1004" s="7"/>
      <c r="S1004" s="10"/>
      <c r="T1004" s="7"/>
      <c r="U1004" s="7"/>
    </row>
    <row r="1005" spans="1:21" x14ac:dyDescent="0.25">
      <c r="A1005" s="4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2"/>
      <c r="M1005" s="2"/>
      <c r="N1005" s="2"/>
      <c r="O1005" s="2"/>
      <c r="P1005" s="2"/>
      <c r="Q1005" s="9"/>
      <c r="R1005" s="7"/>
      <c r="S1005" s="10"/>
      <c r="T1005" s="7"/>
      <c r="U1005" s="7"/>
    </row>
    <row r="1006" spans="1:21" x14ac:dyDescent="0.25">
      <c r="A1006" s="4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2"/>
      <c r="M1006" s="2"/>
      <c r="N1006" s="2"/>
      <c r="O1006" s="2"/>
      <c r="P1006" s="2"/>
      <c r="Q1006" s="9"/>
      <c r="R1006" s="7"/>
      <c r="S1006" s="10"/>
      <c r="T1006" s="7"/>
      <c r="U1006" s="7"/>
    </row>
    <row r="1007" spans="1:21" x14ac:dyDescent="0.25">
      <c r="A1007" s="4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2"/>
      <c r="M1007" s="2"/>
      <c r="N1007" s="2"/>
      <c r="O1007" s="2"/>
      <c r="P1007" s="2"/>
      <c r="Q1007" s="9"/>
      <c r="R1007" s="7"/>
      <c r="S1007" s="10"/>
      <c r="T1007" s="7"/>
      <c r="U1007" s="7"/>
    </row>
    <row r="1008" spans="1:21" x14ac:dyDescent="0.25">
      <c r="A1008" s="4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2"/>
      <c r="M1008" s="2"/>
      <c r="N1008" s="2"/>
      <c r="O1008" s="2"/>
      <c r="P1008" s="2"/>
      <c r="Q1008" s="9"/>
      <c r="R1008" s="7"/>
      <c r="S1008" s="10"/>
      <c r="T1008" s="7"/>
      <c r="U1008" s="7"/>
    </row>
    <row r="1009" spans="1:21" x14ac:dyDescent="0.25">
      <c r="A1009" s="4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2"/>
      <c r="M1009" s="2"/>
      <c r="N1009" s="2"/>
      <c r="O1009" s="2"/>
      <c r="P1009" s="2"/>
      <c r="Q1009" s="9"/>
      <c r="R1009" s="7"/>
      <c r="S1009" s="10"/>
      <c r="T1009" s="7"/>
      <c r="U1009" s="7"/>
    </row>
    <row r="1010" spans="1:21" x14ac:dyDescent="0.25">
      <c r="A1010" s="4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2"/>
      <c r="M1010" s="2"/>
      <c r="N1010" s="2"/>
      <c r="O1010" s="2"/>
      <c r="P1010" s="2"/>
      <c r="Q1010" s="9"/>
      <c r="R1010" s="7"/>
      <c r="S1010" s="10"/>
      <c r="T1010" s="7"/>
      <c r="U1010" s="7"/>
    </row>
    <row r="1011" spans="1:21" x14ac:dyDescent="0.25">
      <c r="A1011" s="4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2"/>
      <c r="M1011" s="2"/>
      <c r="N1011" s="2"/>
      <c r="O1011" s="2"/>
      <c r="P1011" s="2"/>
      <c r="Q1011" s="9"/>
      <c r="R1011" s="7"/>
      <c r="S1011" s="10"/>
      <c r="T1011" s="7"/>
      <c r="U1011" s="7"/>
    </row>
    <row r="1012" spans="1:21" x14ac:dyDescent="0.25">
      <c r="A1012" s="4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2"/>
      <c r="M1012" s="2"/>
      <c r="N1012" s="2"/>
      <c r="O1012" s="2"/>
      <c r="P1012" s="2"/>
      <c r="Q1012" s="9"/>
      <c r="R1012" s="7"/>
      <c r="S1012" s="10"/>
      <c r="T1012" s="7"/>
      <c r="U1012" s="7"/>
    </row>
    <row r="1013" spans="1:21" x14ac:dyDescent="0.25">
      <c r="A1013" s="4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2"/>
      <c r="M1013" s="2"/>
      <c r="N1013" s="2"/>
      <c r="O1013" s="2"/>
      <c r="P1013" s="2"/>
      <c r="Q1013" s="9"/>
      <c r="R1013" s="7"/>
      <c r="S1013" s="10"/>
      <c r="T1013" s="7"/>
      <c r="U1013" s="7"/>
    </row>
    <row r="1014" spans="1:21" x14ac:dyDescent="0.25">
      <c r="A1014" s="4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2"/>
      <c r="M1014" s="2"/>
      <c r="N1014" s="2"/>
      <c r="O1014" s="2"/>
      <c r="P1014" s="2"/>
      <c r="Q1014" s="9"/>
      <c r="R1014" s="7"/>
      <c r="S1014" s="10"/>
      <c r="T1014" s="7"/>
      <c r="U1014" s="7"/>
    </row>
    <row r="1015" spans="1:21" x14ac:dyDescent="0.25">
      <c r="A1015" s="4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2"/>
      <c r="M1015" s="2"/>
      <c r="N1015" s="2"/>
      <c r="O1015" s="2"/>
      <c r="P1015" s="2"/>
      <c r="Q1015" s="9"/>
      <c r="R1015" s="7"/>
      <c r="S1015" s="10"/>
      <c r="T1015" s="7"/>
      <c r="U1015" s="7"/>
    </row>
    <row r="1016" spans="1:21" x14ac:dyDescent="0.25">
      <c r="A1016" s="4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2"/>
      <c r="M1016" s="2"/>
      <c r="N1016" s="2"/>
      <c r="O1016" s="2"/>
      <c r="P1016" s="2"/>
      <c r="Q1016" s="9"/>
      <c r="R1016" s="7"/>
      <c r="S1016" s="10"/>
      <c r="T1016" s="7"/>
      <c r="U1016" s="7"/>
    </row>
    <row r="1017" spans="1:21" x14ac:dyDescent="0.25">
      <c r="A1017" s="4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2"/>
      <c r="M1017" s="2"/>
      <c r="N1017" s="2"/>
      <c r="O1017" s="2"/>
      <c r="P1017" s="2"/>
      <c r="Q1017" s="9"/>
      <c r="R1017" s="7"/>
      <c r="S1017" s="10"/>
      <c r="T1017" s="7"/>
      <c r="U1017" s="7"/>
    </row>
    <row r="1018" spans="1:21" x14ac:dyDescent="0.25">
      <c r="A1018" s="4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2"/>
      <c r="M1018" s="2"/>
      <c r="N1018" s="2"/>
      <c r="O1018" s="2"/>
      <c r="P1018" s="2"/>
      <c r="Q1018" s="9"/>
      <c r="R1018" s="7"/>
      <c r="S1018" s="10"/>
      <c r="T1018" s="7"/>
      <c r="U1018" s="7"/>
    </row>
    <row r="1019" spans="1:21" x14ac:dyDescent="0.25">
      <c r="A1019" s="4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2"/>
      <c r="M1019" s="2"/>
      <c r="N1019" s="2"/>
      <c r="O1019" s="2"/>
      <c r="P1019" s="2"/>
      <c r="Q1019" s="9"/>
      <c r="R1019" s="7"/>
      <c r="S1019" s="10"/>
      <c r="T1019" s="7"/>
      <c r="U1019" s="7"/>
    </row>
    <row r="1020" spans="1:21" x14ac:dyDescent="0.25">
      <c r="A1020" s="4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2"/>
      <c r="M1020" s="2"/>
      <c r="N1020" s="2"/>
      <c r="O1020" s="2"/>
      <c r="P1020" s="2"/>
      <c r="Q1020" s="9"/>
      <c r="R1020" s="7"/>
      <c r="S1020" s="10"/>
      <c r="T1020" s="7"/>
      <c r="U1020" s="7"/>
    </row>
    <row r="1021" spans="1:21" x14ac:dyDescent="0.25">
      <c r="A1021" s="4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2"/>
      <c r="M1021" s="2"/>
      <c r="N1021" s="3"/>
      <c r="O1021" s="3"/>
      <c r="P1021" s="3"/>
      <c r="Q1021" s="9"/>
      <c r="R1021" s="10"/>
      <c r="S1021" s="11"/>
      <c r="T1021" s="7"/>
      <c r="U1021" s="7"/>
    </row>
    <row r="1022" spans="1:21" x14ac:dyDescent="0.25">
      <c r="A1022" s="4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2"/>
      <c r="M1022" s="2"/>
      <c r="N1022" s="3"/>
      <c r="O1022" s="3"/>
      <c r="P1022" s="3"/>
      <c r="Q1022" s="9"/>
      <c r="R1022" s="10"/>
      <c r="S1022" s="11"/>
      <c r="T1022" s="7"/>
      <c r="U1022" s="7"/>
    </row>
    <row r="1023" spans="1:21" x14ac:dyDescent="0.25">
      <c r="A1023" s="4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2"/>
      <c r="M1023" s="2"/>
      <c r="N1023" s="3"/>
      <c r="O1023" s="3"/>
      <c r="P1023" s="3"/>
      <c r="Q1023" s="9"/>
      <c r="R1023" s="10"/>
      <c r="S1023" s="11"/>
      <c r="T1023" s="7"/>
      <c r="U1023" s="7"/>
    </row>
    <row r="1024" spans="1:21" x14ac:dyDescent="0.25">
      <c r="A1024" s="4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2"/>
      <c r="M1024" s="2"/>
      <c r="N1024" s="3"/>
      <c r="O1024" s="3"/>
      <c r="P1024" s="3"/>
      <c r="Q1024" s="9"/>
      <c r="R1024" s="10"/>
      <c r="S1024" s="11"/>
      <c r="T1024" s="7"/>
      <c r="U1024" s="7"/>
    </row>
    <row r="1025" spans="1:21" x14ac:dyDescent="0.25">
      <c r="A1025" s="4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2"/>
      <c r="M1025" s="2"/>
      <c r="N1025" s="3"/>
      <c r="O1025" s="3"/>
      <c r="P1025" s="3"/>
      <c r="Q1025" s="9"/>
      <c r="R1025" s="10"/>
      <c r="S1025" s="11"/>
      <c r="T1025" s="7"/>
      <c r="U1025" s="7"/>
    </row>
    <row r="1026" spans="1:21" x14ac:dyDescent="0.25">
      <c r="A1026" s="4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2"/>
      <c r="M1026" s="2"/>
      <c r="N1026" s="3"/>
      <c r="O1026" s="3"/>
      <c r="P1026" s="3"/>
      <c r="Q1026" s="9"/>
      <c r="R1026" s="10"/>
      <c r="S1026" s="11"/>
      <c r="T1026" s="7"/>
      <c r="U1026" s="7"/>
    </row>
    <row r="1027" spans="1:21" x14ac:dyDescent="0.25">
      <c r="A1027" s="4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2"/>
      <c r="M1027" s="2"/>
      <c r="N1027" s="3"/>
      <c r="O1027" s="3"/>
      <c r="P1027" s="3"/>
      <c r="Q1027" s="9"/>
      <c r="R1027" s="10"/>
      <c r="S1027" s="11"/>
      <c r="T1027" s="7"/>
      <c r="U1027" s="7"/>
    </row>
    <row r="1028" spans="1:21" x14ac:dyDescent="0.25">
      <c r="A1028" s="4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2"/>
      <c r="M1028" s="2"/>
      <c r="N1028" s="3"/>
      <c r="O1028" s="3"/>
      <c r="P1028" s="3"/>
      <c r="Q1028" s="9"/>
      <c r="R1028" s="10"/>
      <c r="S1028" s="11"/>
      <c r="T1028" s="7"/>
      <c r="U1028" s="7"/>
    </row>
    <row r="1029" spans="1:21" x14ac:dyDescent="0.25">
      <c r="A1029" s="4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2"/>
      <c r="M1029" s="2"/>
      <c r="N1029" s="3"/>
      <c r="O1029" s="3"/>
      <c r="P1029" s="3"/>
      <c r="Q1029" s="9"/>
      <c r="R1029" s="10"/>
      <c r="S1029" s="11"/>
      <c r="T1029" s="7"/>
      <c r="U1029" s="7"/>
    </row>
    <row r="1030" spans="1:21" x14ac:dyDescent="0.25">
      <c r="A1030" s="4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2"/>
      <c r="M1030" s="2"/>
      <c r="N1030" s="3"/>
      <c r="O1030" s="3"/>
      <c r="P1030" s="3"/>
      <c r="Q1030" s="9"/>
      <c r="R1030" s="10"/>
      <c r="S1030" s="11"/>
      <c r="T1030" s="7"/>
      <c r="U1030" s="7"/>
    </row>
    <row r="1031" spans="1:21" x14ac:dyDescent="0.25">
      <c r="A1031" s="4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2"/>
      <c r="M1031" s="2"/>
      <c r="N1031" s="3"/>
      <c r="O1031" s="3"/>
      <c r="P1031" s="3"/>
      <c r="Q1031" s="9"/>
      <c r="R1031" s="10"/>
      <c r="S1031" s="11"/>
      <c r="T1031" s="7"/>
      <c r="U1031" s="7"/>
    </row>
    <row r="1032" spans="1:21" x14ac:dyDescent="0.25">
      <c r="A1032" s="4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2"/>
      <c r="M1032" s="2"/>
      <c r="N1032" s="3"/>
      <c r="O1032" s="3"/>
      <c r="P1032" s="3"/>
      <c r="Q1032" s="9"/>
      <c r="R1032" s="10"/>
      <c r="S1032" s="11"/>
      <c r="T1032" s="7"/>
      <c r="U1032" s="7"/>
    </row>
    <row r="1033" spans="1:21" x14ac:dyDescent="0.25">
      <c r="A1033" s="4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2"/>
      <c r="M1033" s="2"/>
      <c r="N1033" s="3"/>
      <c r="O1033" s="3"/>
      <c r="P1033" s="3"/>
      <c r="Q1033" s="9"/>
      <c r="R1033" s="10"/>
      <c r="S1033" s="11"/>
      <c r="T1033" s="7"/>
      <c r="U1033" s="7"/>
    </row>
    <row r="1034" spans="1:21" x14ac:dyDescent="0.25">
      <c r="A1034" s="4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2"/>
      <c r="M1034" s="2"/>
      <c r="N1034" s="3"/>
      <c r="O1034" s="3"/>
      <c r="P1034" s="3"/>
      <c r="Q1034" s="9"/>
      <c r="R1034" s="10"/>
      <c r="S1034" s="11"/>
      <c r="T1034" s="7"/>
      <c r="U1034" s="7"/>
    </row>
    <row r="1035" spans="1:21" x14ac:dyDescent="0.25">
      <c r="A1035" s="4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2"/>
      <c r="M1035" s="2"/>
      <c r="N1035" s="3"/>
      <c r="O1035" s="3"/>
      <c r="P1035" s="3"/>
      <c r="Q1035" s="9"/>
      <c r="R1035" s="10"/>
      <c r="S1035" s="11"/>
      <c r="T1035" s="7"/>
      <c r="U1035" s="7"/>
    </row>
    <row r="1036" spans="1:21" x14ac:dyDescent="0.25">
      <c r="A1036" s="4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2"/>
      <c r="M1036" s="2"/>
      <c r="N1036" s="3"/>
      <c r="O1036" s="3"/>
      <c r="P1036" s="3"/>
      <c r="Q1036" s="9"/>
      <c r="R1036" s="10"/>
      <c r="S1036" s="11"/>
      <c r="T1036" s="7"/>
      <c r="U1036" s="7"/>
    </row>
    <row r="1037" spans="1:21" x14ac:dyDescent="0.25">
      <c r="A1037" s="4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2"/>
      <c r="M1037" s="2"/>
      <c r="N1037" s="3"/>
      <c r="O1037" s="3"/>
      <c r="P1037" s="3"/>
      <c r="Q1037" s="9"/>
      <c r="R1037" s="10"/>
      <c r="S1037" s="11"/>
      <c r="T1037" s="7"/>
      <c r="U1037" s="7"/>
    </row>
    <row r="1038" spans="1:21" x14ac:dyDescent="0.25">
      <c r="A1038" s="4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2"/>
      <c r="M1038" s="2"/>
      <c r="N1038" s="3"/>
      <c r="O1038" s="3"/>
      <c r="P1038" s="3"/>
      <c r="Q1038" s="9"/>
      <c r="R1038" s="10"/>
      <c r="S1038" s="11"/>
      <c r="T1038" s="7"/>
      <c r="U1038" s="7"/>
    </row>
    <row r="1039" spans="1:21" x14ac:dyDescent="0.25">
      <c r="A1039" s="4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2"/>
      <c r="M1039" s="2"/>
      <c r="N1039" s="3"/>
      <c r="O1039" s="3"/>
      <c r="P1039" s="3"/>
      <c r="Q1039" s="9"/>
      <c r="R1039" s="10"/>
      <c r="S1039" s="11"/>
      <c r="T1039" s="7"/>
      <c r="U1039" s="7"/>
    </row>
    <row r="1040" spans="1:21" x14ac:dyDescent="0.25">
      <c r="A1040" s="4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2"/>
      <c r="M1040" s="2"/>
      <c r="N1040" s="3"/>
      <c r="O1040" s="3"/>
      <c r="P1040" s="3"/>
      <c r="Q1040" s="9"/>
      <c r="R1040" s="10"/>
      <c r="S1040" s="11"/>
      <c r="T1040" s="7"/>
      <c r="U1040" s="7"/>
    </row>
    <row r="1041" spans="1:21" x14ac:dyDescent="0.25">
      <c r="A1041" s="4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2"/>
      <c r="M1041" s="2"/>
      <c r="N1041" s="3"/>
      <c r="O1041" s="3"/>
      <c r="P1041" s="3"/>
      <c r="Q1041" s="9"/>
      <c r="R1041" s="10"/>
      <c r="S1041" s="11"/>
      <c r="T1041" s="7"/>
      <c r="U1041" s="7"/>
    </row>
    <row r="1042" spans="1:21" x14ac:dyDescent="0.25">
      <c r="A1042" s="4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2"/>
      <c r="M1042" s="2"/>
      <c r="N1042" s="3"/>
      <c r="O1042" s="3"/>
      <c r="P1042" s="3"/>
      <c r="Q1042" s="9"/>
      <c r="R1042" s="10"/>
      <c r="S1042" s="11"/>
      <c r="T1042" s="7"/>
      <c r="U1042" s="7"/>
    </row>
    <row r="1043" spans="1:21" x14ac:dyDescent="0.25">
      <c r="A1043" s="4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2"/>
      <c r="M1043" s="2"/>
      <c r="N1043" s="3"/>
      <c r="O1043" s="3"/>
      <c r="P1043" s="3"/>
      <c r="Q1043" s="9"/>
      <c r="R1043" s="10"/>
      <c r="S1043" s="11"/>
      <c r="T1043" s="7"/>
      <c r="U1043" s="7"/>
    </row>
    <row r="1044" spans="1:21" x14ac:dyDescent="0.25">
      <c r="A1044" s="4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2"/>
      <c r="M1044" s="2"/>
      <c r="N1044" s="3"/>
      <c r="O1044" s="3"/>
      <c r="P1044" s="3"/>
      <c r="Q1044" s="9"/>
      <c r="R1044" s="10"/>
      <c r="S1044" s="11"/>
      <c r="T1044" s="7"/>
      <c r="U1044" s="7"/>
    </row>
    <row r="1045" spans="1:21" x14ac:dyDescent="0.25">
      <c r="A1045" s="4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2"/>
      <c r="M1045" s="2"/>
      <c r="N1045" s="3"/>
      <c r="O1045" s="3"/>
      <c r="P1045" s="3"/>
      <c r="Q1045" s="9"/>
      <c r="R1045" s="10"/>
      <c r="S1045" s="11"/>
      <c r="T1045" s="7"/>
      <c r="U1045" s="7"/>
    </row>
    <row r="1046" spans="1:21" x14ac:dyDescent="0.25">
      <c r="A1046" s="4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2"/>
      <c r="M1046" s="2"/>
      <c r="N1046" s="3"/>
      <c r="O1046" s="3"/>
      <c r="P1046" s="3"/>
      <c r="Q1046" s="9"/>
      <c r="R1046" s="10"/>
      <c r="S1046" s="11"/>
      <c r="T1046" s="7"/>
      <c r="U1046" s="7"/>
    </row>
    <row r="1047" spans="1:21" x14ac:dyDescent="0.25">
      <c r="A1047" s="4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2"/>
      <c r="M1047" s="2"/>
      <c r="N1047" s="3"/>
      <c r="O1047" s="3"/>
      <c r="P1047" s="3"/>
      <c r="Q1047" s="9"/>
      <c r="R1047" s="10"/>
      <c r="S1047" s="11"/>
      <c r="T1047" s="7"/>
      <c r="U1047" s="7"/>
    </row>
    <row r="1048" spans="1:21" x14ac:dyDescent="0.25">
      <c r="A1048" s="4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2"/>
      <c r="M1048" s="2"/>
      <c r="N1048" s="3"/>
      <c r="O1048" s="3"/>
      <c r="P1048" s="3"/>
      <c r="Q1048" s="9"/>
      <c r="R1048" s="10"/>
      <c r="S1048" s="11"/>
      <c r="T1048" s="7"/>
      <c r="U1048" s="7"/>
    </row>
    <row r="1049" spans="1:21" x14ac:dyDescent="0.25">
      <c r="A1049" s="4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2"/>
      <c r="M1049" s="2"/>
      <c r="N1049" s="3"/>
      <c r="O1049" s="3"/>
      <c r="P1049" s="3"/>
      <c r="Q1049" s="9"/>
      <c r="R1049" s="10"/>
      <c r="S1049" s="11"/>
      <c r="T1049" s="7"/>
      <c r="U1049" s="7"/>
    </row>
    <row r="1050" spans="1:21" x14ac:dyDescent="0.25">
      <c r="A1050" s="4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2"/>
      <c r="M1050" s="2"/>
      <c r="N1050" s="3"/>
      <c r="O1050" s="3"/>
      <c r="P1050" s="3"/>
      <c r="Q1050" s="9"/>
      <c r="R1050" s="10"/>
      <c r="S1050" s="11"/>
      <c r="T1050" s="7"/>
      <c r="U1050" s="7"/>
    </row>
    <row r="1051" spans="1:21" x14ac:dyDescent="0.25">
      <c r="A1051" s="4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2"/>
      <c r="M1051" s="2"/>
      <c r="N1051" s="3"/>
      <c r="O1051" s="3"/>
      <c r="P1051" s="3"/>
      <c r="Q1051" s="9"/>
      <c r="R1051" s="10"/>
      <c r="S1051" s="11"/>
      <c r="T1051" s="7"/>
      <c r="U1051" s="7"/>
    </row>
    <row r="1052" spans="1:21" x14ac:dyDescent="0.25">
      <c r="A1052" s="4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2"/>
      <c r="M1052" s="2"/>
      <c r="N1052" s="3"/>
      <c r="O1052" s="3"/>
      <c r="P1052" s="3"/>
      <c r="Q1052" s="9"/>
      <c r="R1052" s="10"/>
      <c r="S1052" s="11"/>
      <c r="T1052" s="7"/>
      <c r="U1052" s="7"/>
    </row>
    <row r="1053" spans="1:21" x14ac:dyDescent="0.25">
      <c r="A1053" s="4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2"/>
      <c r="M1053" s="2"/>
      <c r="N1053" s="3"/>
      <c r="O1053" s="3"/>
      <c r="P1053" s="3"/>
      <c r="Q1053" s="9"/>
      <c r="R1053" s="10"/>
      <c r="S1053" s="11"/>
      <c r="T1053" s="7"/>
      <c r="U1053" s="7"/>
    </row>
    <row r="1054" spans="1:21" x14ac:dyDescent="0.25">
      <c r="A1054" s="4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2"/>
      <c r="M1054" s="2"/>
      <c r="N1054" s="3"/>
      <c r="O1054" s="3"/>
      <c r="P1054" s="3"/>
      <c r="Q1054" s="9"/>
      <c r="R1054" s="10"/>
      <c r="S1054" s="11"/>
      <c r="T1054" s="7"/>
      <c r="U1054" s="7"/>
    </row>
    <row r="1055" spans="1:21" x14ac:dyDescent="0.25">
      <c r="A1055" s="4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2"/>
      <c r="M1055" s="2"/>
      <c r="N1055" s="3"/>
      <c r="O1055" s="3"/>
      <c r="P1055" s="3"/>
      <c r="Q1055" s="9"/>
      <c r="R1055" s="10"/>
      <c r="S1055" s="11"/>
      <c r="T1055" s="7"/>
      <c r="U1055" s="7"/>
    </row>
    <row r="1056" spans="1:21" x14ac:dyDescent="0.25">
      <c r="A1056" s="4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2"/>
      <c r="M1056" s="2"/>
      <c r="N1056" s="3"/>
      <c r="O1056" s="3"/>
      <c r="P1056" s="3"/>
      <c r="Q1056" s="9"/>
      <c r="R1056" s="10"/>
      <c r="S1056" s="11"/>
      <c r="T1056" s="7"/>
      <c r="U1056" s="7"/>
    </row>
    <row r="1057" spans="1:21" x14ac:dyDescent="0.25">
      <c r="A1057" s="4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2"/>
      <c r="M1057" s="2"/>
      <c r="N1057" s="3"/>
      <c r="O1057" s="3"/>
      <c r="P1057" s="3"/>
      <c r="Q1057" s="9"/>
      <c r="R1057" s="10"/>
      <c r="S1057" s="11"/>
      <c r="T1057" s="7"/>
      <c r="U1057" s="7"/>
    </row>
    <row r="1058" spans="1:21" x14ac:dyDescent="0.25">
      <c r="A1058" s="4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2"/>
      <c r="M1058" s="2"/>
      <c r="N1058" s="3"/>
      <c r="O1058" s="3"/>
      <c r="P1058" s="3"/>
      <c r="Q1058" s="9"/>
      <c r="R1058" s="10"/>
      <c r="S1058" s="11"/>
      <c r="T1058" s="7"/>
      <c r="U1058" s="7"/>
    </row>
    <row r="1059" spans="1:21" x14ac:dyDescent="0.25">
      <c r="A1059" s="4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2"/>
      <c r="M1059" s="2"/>
      <c r="N1059" s="3"/>
      <c r="O1059" s="3"/>
      <c r="P1059" s="3"/>
      <c r="Q1059" s="9"/>
      <c r="R1059" s="10"/>
      <c r="S1059" s="11"/>
      <c r="T1059" s="7"/>
      <c r="U1059" s="7"/>
    </row>
    <row r="1060" spans="1:21" x14ac:dyDescent="0.25">
      <c r="A1060" s="4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2"/>
      <c r="M1060" s="2"/>
      <c r="N1060" s="3"/>
      <c r="O1060" s="3"/>
      <c r="P1060" s="3"/>
      <c r="Q1060" s="9"/>
      <c r="R1060" s="10"/>
      <c r="S1060" s="11"/>
      <c r="T1060" s="7"/>
      <c r="U1060" s="7"/>
    </row>
    <row r="1061" spans="1:21" x14ac:dyDescent="0.25">
      <c r="A1061" s="4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2"/>
      <c r="M1061" s="2"/>
      <c r="N1061" s="3"/>
      <c r="O1061" s="3"/>
      <c r="P1061" s="3"/>
      <c r="Q1061" s="9"/>
      <c r="R1061" s="10"/>
      <c r="S1061" s="11"/>
      <c r="T1061" s="7"/>
      <c r="U1061" s="7"/>
    </row>
    <row r="1062" spans="1:21" x14ac:dyDescent="0.25">
      <c r="A1062" s="4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2"/>
      <c r="M1062" s="2"/>
      <c r="N1062" s="3"/>
      <c r="O1062" s="3"/>
      <c r="P1062" s="3"/>
      <c r="Q1062" s="9"/>
      <c r="R1062" s="10"/>
      <c r="S1062" s="11"/>
      <c r="T1062" s="7"/>
      <c r="U1062" s="7"/>
    </row>
    <row r="1063" spans="1:21" x14ac:dyDescent="0.25">
      <c r="A1063" s="4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2"/>
      <c r="M1063" s="2"/>
      <c r="N1063" s="3"/>
      <c r="O1063" s="3"/>
      <c r="P1063" s="3"/>
      <c r="Q1063" s="9"/>
      <c r="R1063" s="10"/>
      <c r="S1063" s="11"/>
      <c r="T1063" s="7"/>
      <c r="U1063" s="7"/>
    </row>
    <row r="1064" spans="1:21" x14ac:dyDescent="0.25">
      <c r="A1064" s="4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2"/>
      <c r="M1064" s="2"/>
      <c r="N1064" s="3"/>
      <c r="O1064" s="3"/>
      <c r="P1064" s="3"/>
      <c r="Q1064" s="9"/>
      <c r="R1064" s="10"/>
      <c r="S1064" s="11"/>
      <c r="T1064" s="7"/>
      <c r="U1064" s="7"/>
    </row>
    <row r="1065" spans="1:21" x14ac:dyDescent="0.25">
      <c r="A1065" s="4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2"/>
      <c r="M1065" s="2"/>
      <c r="N1065" s="3"/>
      <c r="O1065" s="3"/>
      <c r="P1065" s="3"/>
      <c r="Q1065" s="9"/>
      <c r="R1065" s="10"/>
      <c r="S1065" s="11"/>
      <c r="T1065" s="7"/>
      <c r="U1065" s="7"/>
    </row>
    <row r="1066" spans="1:21" x14ac:dyDescent="0.25">
      <c r="A1066" s="4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2"/>
      <c r="M1066" s="2"/>
      <c r="N1066" s="3"/>
      <c r="O1066" s="3"/>
      <c r="P1066" s="3"/>
      <c r="Q1066" s="9"/>
      <c r="R1066" s="10"/>
      <c r="S1066" s="11"/>
      <c r="T1066" s="7"/>
      <c r="U1066" s="7"/>
    </row>
    <row r="1067" spans="1:21" x14ac:dyDescent="0.25">
      <c r="A1067" s="4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2"/>
      <c r="M1067" s="2"/>
      <c r="N1067" s="3"/>
      <c r="O1067" s="3"/>
      <c r="P1067" s="3"/>
      <c r="Q1067" s="9"/>
      <c r="R1067" s="10"/>
      <c r="S1067" s="11"/>
      <c r="T1067" s="7"/>
      <c r="U1067" s="7"/>
    </row>
    <row r="1068" spans="1:21" x14ac:dyDescent="0.25">
      <c r="A1068" s="4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2"/>
      <c r="M1068" s="2"/>
      <c r="N1068" s="3"/>
      <c r="O1068" s="3"/>
      <c r="P1068" s="3"/>
      <c r="Q1068" s="9"/>
      <c r="R1068" s="10"/>
      <c r="S1068" s="11"/>
      <c r="T1068" s="7"/>
      <c r="U1068" s="7"/>
    </row>
    <row r="1069" spans="1:21" x14ac:dyDescent="0.25">
      <c r="A1069" s="4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2"/>
      <c r="M1069" s="2"/>
      <c r="N1069" s="3"/>
      <c r="O1069" s="3"/>
      <c r="P1069" s="3"/>
      <c r="Q1069" s="9"/>
      <c r="R1069" s="10"/>
      <c r="S1069" s="11"/>
      <c r="T1069" s="7"/>
      <c r="U1069" s="7"/>
    </row>
    <row r="1070" spans="1:21" x14ac:dyDescent="0.25">
      <c r="A1070" s="4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2"/>
      <c r="M1070" s="2"/>
      <c r="N1070" s="3"/>
      <c r="O1070" s="3"/>
      <c r="P1070" s="3"/>
      <c r="Q1070" s="9"/>
      <c r="R1070" s="10"/>
      <c r="S1070" s="11"/>
      <c r="T1070" s="7"/>
      <c r="U1070" s="7"/>
    </row>
    <row r="1071" spans="1:21" x14ac:dyDescent="0.25">
      <c r="A1071" s="4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2"/>
      <c r="M1071" s="2"/>
      <c r="N1071" s="3"/>
      <c r="O1071" s="3"/>
      <c r="P1071" s="3"/>
      <c r="Q1071" s="9"/>
      <c r="R1071" s="10"/>
      <c r="S1071" s="11"/>
      <c r="T1071" s="7"/>
      <c r="U1071" s="7"/>
    </row>
    <row r="1072" spans="1:21" x14ac:dyDescent="0.25">
      <c r="A1072" s="4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2"/>
      <c r="M1072" s="2"/>
      <c r="N1072" s="3"/>
      <c r="O1072" s="3"/>
      <c r="P1072" s="3"/>
      <c r="Q1072" s="9"/>
      <c r="R1072" s="10"/>
      <c r="S1072" s="11"/>
      <c r="T1072" s="7"/>
      <c r="U1072" s="7"/>
    </row>
    <row r="1073" spans="1:21" x14ac:dyDescent="0.25">
      <c r="A1073" s="4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2"/>
      <c r="M1073" s="2"/>
      <c r="N1073" s="3"/>
      <c r="O1073" s="3"/>
      <c r="P1073" s="3"/>
      <c r="Q1073" s="9"/>
      <c r="R1073" s="10"/>
      <c r="S1073" s="11"/>
      <c r="T1073" s="7"/>
      <c r="U1073" s="7"/>
    </row>
    <row r="1074" spans="1:21" x14ac:dyDescent="0.25">
      <c r="A1074" s="4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2"/>
      <c r="M1074" s="2"/>
      <c r="N1074" s="3"/>
      <c r="O1074" s="3"/>
      <c r="P1074" s="3"/>
      <c r="Q1074" s="9"/>
      <c r="R1074" s="10"/>
      <c r="S1074" s="11"/>
      <c r="T1074" s="7"/>
      <c r="U1074" s="7"/>
    </row>
    <row r="1075" spans="1:21" x14ac:dyDescent="0.25">
      <c r="A1075" s="4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2"/>
      <c r="M1075" s="2"/>
      <c r="N1075" s="3"/>
      <c r="O1075" s="3"/>
      <c r="P1075" s="3"/>
      <c r="Q1075" s="9"/>
      <c r="R1075" s="10"/>
      <c r="S1075" s="11"/>
      <c r="T1075" s="7"/>
      <c r="U1075" s="7"/>
    </row>
    <row r="1076" spans="1:21" x14ac:dyDescent="0.25">
      <c r="A1076" s="4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2"/>
      <c r="M1076" s="2"/>
      <c r="N1076" s="3"/>
      <c r="O1076" s="3"/>
      <c r="P1076" s="3"/>
      <c r="Q1076" s="9"/>
      <c r="R1076" s="10"/>
      <c r="S1076" s="11"/>
      <c r="T1076" s="7"/>
      <c r="U1076" s="7"/>
    </row>
    <row r="1077" spans="1:21" x14ac:dyDescent="0.25">
      <c r="A1077" s="4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2"/>
      <c r="M1077" s="2"/>
      <c r="N1077" s="3"/>
      <c r="O1077" s="3"/>
      <c r="P1077" s="3"/>
      <c r="Q1077" s="9"/>
      <c r="R1077" s="10"/>
      <c r="S1077" s="11"/>
      <c r="T1077" s="7"/>
      <c r="U1077" s="7"/>
    </row>
    <row r="1078" spans="1:21" x14ac:dyDescent="0.25">
      <c r="A1078" s="4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2"/>
      <c r="M1078" s="2"/>
      <c r="N1078" s="3"/>
      <c r="O1078" s="3"/>
      <c r="P1078" s="3"/>
      <c r="Q1078" s="9"/>
      <c r="R1078" s="10"/>
      <c r="S1078" s="11"/>
      <c r="T1078" s="7"/>
      <c r="U1078" s="7"/>
    </row>
    <row r="1079" spans="1:21" x14ac:dyDescent="0.25">
      <c r="A1079" s="4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2"/>
      <c r="M1079" s="2"/>
      <c r="N1079" s="3"/>
      <c r="O1079" s="3"/>
      <c r="P1079" s="3"/>
      <c r="Q1079" s="9"/>
      <c r="R1079" s="10"/>
      <c r="S1079" s="11"/>
      <c r="T1079" s="7"/>
      <c r="U1079" s="7"/>
    </row>
    <row r="1080" spans="1:21" x14ac:dyDescent="0.25">
      <c r="A1080" s="4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2"/>
      <c r="M1080" s="2"/>
      <c r="N1080" s="3"/>
      <c r="O1080" s="3"/>
      <c r="P1080" s="3"/>
      <c r="Q1080" s="9"/>
      <c r="R1080" s="10"/>
      <c r="S1080" s="11"/>
      <c r="T1080" s="7"/>
      <c r="U1080" s="7"/>
    </row>
    <row r="1081" spans="1:21" x14ac:dyDescent="0.25">
      <c r="A1081" s="4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6"/>
      <c r="M1081" s="6"/>
      <c r="N1081" s="3"/>
      <c r="O1081" s="3"/>
      <c r="P1081" s="3"/>
      <c r="Q1081" s="9"/>
      <c r="R1081" s="10"/>
      <c r="S1081" s="10"/>
      <c r="T1081" s="7"/>
      <c r="U1081" s="7"/>
    </row>
    <row r="1082" spans="1:21" x14ac:dyDescent="0.25">
      <c r="A1082" s="4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6"/>
      <c r="M1082" s="6"/>
      <c r="N1082" s="3"/>
      <c r="O1082" s="3"/>
      <c r="P1082" s="3"/>
      <c r="Q1082" s="9"/>
      <c r="R1082" s="10"/>
      <c r="S1082" s="10"/>
      <c r="T1082" s="7"/>
      <c r="U1082" s="7"/>
    </row>
    <row r="1083" spans="1:21" x14ac:dyDescent="0.25">
      <c r="A1083" s="4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6"/>
      <c r="M1083" s="6"/>
      <c r="N1083" s="3"/>
      <c r="O1083" s="3"/>
      <c r="P1083" s="3"/>
      <c r="Q1083" s="9"/>
      <c r="R1083" s="10"/>
      <c r="S1083" s="10"/>
      <c r="T1083" s="7"/>
      <c r="U1083" s="7"/>
    </row>
    <row r="1084" spans="1:21" x14ac:dyDescent="0.25">
      <c r="A1084" s="4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6"/>
      <c r="M1084" s="6"/>
      <c r="N1084" s="3"/>
      <c r="O1084" s="3"/>
      <c r="P1084" s="3"/>
      <c r="Q1084" s="9"/>
      <c r="R1084" s="10"/>
      <c r="S1084" s="10"/>
      <c r="T1084" s="7"/>
      <c r="U1084" s="7"/>
    </row>
    <row r="1085" spans="1:21" x14ac:dyDescent="0.25">
      <c r="A1085" s="4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6"/>
      <c r="M1085" s="6"/>
      <c r="N1085" s="3"/>
      <c r="O1085" s="3"/>
      <c r="P1085" s="3"/>
      <c r="Q1085" s="9"/>
      <c r="R1085" s="10"/>
      <c r="S1085" s="10"/>
      <c r="T1085" s="7"/>
      <c r="U1085" s="7"/>
    </row>
    <row r="1086" spans="1:21" x14ac:dyDescent="0.25">
      <c r="A1086" s="4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6"/>
      <c r="M1086" s="6"/>
      <c r="N1086" s="3"/>
      <c r="O1086" s="3"/>
      <c r="P1086" s="3"/>
      <c r="Q1086" s="9"/>
      <c r="R1086" s="10"/>
      <c r="S1086" s="10"/>
      <c r="T1086" s="7"/>
      <c r="U1086" s="7"/>
    </row>
    <row r="1087" spans="1:21" x14ac:dyDescent="0.25">
      <c r="A1087" s="4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6"/>
      <c r="M1087" s="6"/>
      <c r="N1087" s="3"/>
      <c r="O1087" s="3"/>
      <c r="P1087" s="3"/>
      <c r="Q1087" s="9"/>
      <c r="R1087" s="10"/>
      <c r="S1087" s="10"/>
      <c r="T1087" s="7"/>
      <c r="U1087" s="7"/>
    </row>
    <row r="1088" spans="1:21" x14ac:dyDescent="0.25">
      <c r="A1088" s="4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6"/>
      <c r="M1088" s="6"/>
      <c r="N1088" s="3"/>
      <c r="O1088" s="3"/>
      <c r="P1088" s="3"/>
      <c r="Q1088" s="9"/>
      <c r="R1088" s="10"/>
      <c r="S1088" s="10"/>
      <c r="T1088" s="7"/>
      <c r="U1088" s="7"/>
    </row>
    <row r="1089" spans="1:21" x14ac:dyDescent="0.25">
      <c r="A1089" s="4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6"/>
      <c r="M1089" s="6"/>
      <c r="N1089" s="3"/>
      <c r="O1089" s="3"/>
      <c r="P1089" s="3"/>
      <c r="Q1089" s="9"/>
      <c r="R1089" s="10"/>
      <c r="S1089" s="10"/>
      <c r="T1089" s="7"/>
      <c r="U1089" s="7"/>
    </row>
    <row r="1090" spans="1:21" x14ac:dyDescent="0.25">
      <c r="A1090" s="4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6"/>
      <c r="M1090" s="6"/>
      <c r="N1090" s="3"/>
      <c r="O1090" s="3"/>
      <c r="P1090" s="3"/>
      <c r="Q1090" s="9"/>
      <c r="R1090" s="10"/>
      <c r="S1090" s="10"/>
      <c r="T1090" s="7"/>
      <c r="U1090" s="7"/>
    </row>
    <row r="1091" spans="1:21" x14ac:dyDescent="0.25">
      <c r="A1091" s="4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6"/>
      <c r="M1091" s="6"/>
      <c r="N1091" s="3"/>
      <c r="O1091" s="3"/>
      <c r="P1091" s="3"/>
      <c r="Q1091" s="9"/>
      <c r="R1091" s="10"/>
      <c r="S1091" s="10"/>
      <c r="T1091" s="7"/>
      <c r="U1091" s="7"/>
    </row>
    <row r="1092" spans="1:21" x14ac:dyDescent="0.25">
      <c r="A1092" s="4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6"/>
      <c r="M1092" s="6"/>
      <c r="N1092" s="3"/>
      <c r="O1092" s="3"/>
      <c r="P1092" s="3"/>
      <c r="Q1092" s="9"/>
      <c r="R1092" s="10"/>
      <c r="S1092" s="10"/>
      <c r="T1092" s="7"/>
      <c r="U1092" s="7"/>
    </row>
    <row r="1093" spans="1:21" x14ac:dyDescent="0.25">
      <c r="A1093" s="4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6"/>
      <c r="M1093" s="6"/>
      <c r="N1093" s="3"/>
      <c r="O1093" s="3"/>
      <c r="P1093" s="3"/>
      <c r="Q1093" s="9"/>
      <c r="R1093" s="10"/>
      <c r="S1093" s="10"/>
      <c r="T1093" s="7"/>
      <c r="U1093" s="7"/>
    </row>
    <row r="1094" spans="1:21" x14ac:dyDescent="0.25">
      <c r="A1094" s="4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6"/>
      <c r="M1094" s="6"/>
      <c r="N1094" s="3"/>
      <c r="O1094" s="3"/>
      <c r="P1094" s="3"/>
      <c r="Q1094" s="9"/>
      <c r="R1094" s="10"/>
      <c r="S1094" s="10"/>
      <c r="T1094" s="7"/>
      <c r="U1094" s="7"/>
    </row>
    <row r="1095" spans="1:21" x14ac:dyDescent="0.25">
      <c r="A1095" s="4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6"/>
      <c r="M1095" s="6"/>
      <c r="N1095" s="3"/>
      <c r="O1095" s="3"/>
      <c r="P1095" s="3"/>
      <c r="Q1095" s="9"/>
      <c r="R1095" s="10"/>
      <c r="S1095" s="10"/>
      <c r="T1095" s="7"/>
      <c r="U1095" s="7"/>
    </row>
    <row r="1096" spans="1:21" x14ac:dyDescent="0.25">
      <c r="A1096" s="4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6"/>
      <c r="M1096" s="6"/>
      <c r="N1096" s="3"/>
      <c r="O1096" s="3"/>
      <c r="P1096" s="3"/>
      <c r="Q1096" s="9"/>
      <c r="R1096" s="10"/>
      <c r="S1096" s="10"/>
      <c r="T1096" s="7"/>
      <c r="U1096" s="7"/>
    </row>
    <row r="1097" spans="1:21" x14ac:dyDescent="0.25">
      <c r="A1097" s="4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6"/>
      <c r="M1097" s="6"/>
      <c r="N1097" s="3"/>
      <c r="O1097" s="3"/>
      <c r="P1097" s="3"/>
      <c r="Q1097" s="9"/>
      <c r="R1097" s="10"/>
      <c r="S1097" s="10"/>
      <c r="T1097" s="7"/>
      <c r="U1097" s="7"/>
    </row>
    <row r="1098" spans="1:21" x14ac:dyDescent="0.25">
      <c r="A1098" s="4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6"/>
      <c r="M1098" s="6"/>
      <c r="N1098" s="3"/>
      <c r="O1098" s="3"/>
      <c r="P1098" s="3"/>
      <c r="Q1098" s="9"/>
      <c r="R1098" s="10"/>
      <c r="S1098" s="10"/>
      <c r="T1098" s="7"/>
      <c r="U1098" s="7"/>
    </row>
    <row r="1099" spans="1:21" x14ac:dyDescent="0.25">
      <c r="A1099" s="4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6"/>
      <c r="M1099" s="6"/>
      <c r="N1099" s="3"/>
      <c r="O1099" s="3"/>
      <c r="P1099" s="3"/>
      <c r="Q1099" s="9"/>
      <c r="R1099" s="10"/>
      <c r="S1099" s="10"/>
      <c r="T1099" s="7"/>
      <c r="U1099" s="7"/>
    </row>
    <row r="1100" spans="1:21" x14ac:dyDescent="0.25">
      <c r="A1100" s="4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6"/>
      <c r="M1100" s="6"/>
      <c r="N1100" s="3"/>
      <c r="O1100" s="3"/>
      <c r="P1100" s="3"/>
      <c r="Q1100" s="9"/>
      <c r="R1100" s="10"/>
      <c r="S1100" s="10"/>
      <c r="T1100" s="7"/>
      <c r="U1100" s="7"/>
    </row>
    <row r="1101" spans="1:21" x14ac:dyDescent="0.25">
      <c r="A1101" s="4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6"/>
      <c r="M1101" s="6"/>
      <c r="N1101" s="3"/>
      <c r="O1101" s="3"/>
      <c r="P1101" s="3"/>
      <c r="Q1101" s="9"/>
      <c r="R1101" s="10"/>
      <c r="S1101" s="10"/>
      <c r="T1101" s="7"/>
      <c r="U1101" s="7"/>
    </row>
    <row r="1102" spans="1:21" x14ac:dyDescent="0.25">
      <c r="A1102" s="4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6"/>
      <c r="M1102" s="6"/>
      <c r="N1102" s="3"/>
      <c r="O1102" s="3"/>
      <c r="P1102" s="3"/>
      <c r="Q1102" s="9"/>
      <c r="R1102" s="10"/>
      <c r="S1102" s="10"/>
      <c r="T1102" s="7"/>
      <c r="U1102" s="7"/>
    </row>
    <row r="1103" spans="1:21" x14ac:dyDescent="0.25">
      <c r="A1103" s="4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6"/>
      <c r="M1103" s="6"/>
      <c r="N1103" s="3"/>
      <c r="O1103" s="3"/>
      <c r="P1103" s="3"/>
      <c r="Q1103" s="9"/>
      <c r="R1103" s="10"/>
      <c r="S1103" s="10"/>
      <c r="T1103" s="7"/>
      <c r="U1103" s="7"/>
    </row>
    <row r="1104" spans="1:21" x14ac:dyDescent="0.25">
      <c r="A1104" s="4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6"/>
      <c r="M1104" s="6"/>
      <c r="N1104" s="3"/>
      <c r="O1104" s="3"/>
      <c r="P1104" s="3"/>
      <c r="Q1104" s="9"/>
      <c r="R1104" s="10"/>
      <c r="S1104" s="10"/>
      <c r="T1104" s="7"/>
      <c r="U1104" s="7"/>
    </row>
    <row r="1105" spans="1:21" x14ac:dyDescent="0.25">
      <c r="A1105" s="4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6"/>
      <c r="M1105" s="6"/>
      <c r="N1105" s="3"/>
      <c r="O1105" s="3"/>
      <c r="P1105" s="3"/>
      <c r="Q1105" s="9"/>
      <c r="R1105" s="10"/>
      <c r="S1105" s="10"/>
      <c r="T1105" s="7"/>
      <c r="U1105" s="7"/>
    </row>
    <row r="1106" spans="1:21" x14ac:dyDescent="0.25">
      <c r="A1106" s="4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6"/>
      <c r="M1106" s="6"/>
      <c r="N1106" s="3"/>
      <c r="O1106" s="3"/>
      <c r="P1106" s="3"/>
      <c r="Q1106" s="9"/>
      <c r="R1106" s="10"/>
      <c r="S1106" s="10"/>
      <c r="T1106" s="7"/>
      <c r="U1106" s="7"/>
    </row>
    <row r="1107" spans="1:21" x14ac:dyDescent="0.25">
      <c r="A1107" s="4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6"/>
      <c r="M1107" s="6"/>
      <c r="N1107" s="3"/>
      <c r="O1107" s="3"/>
      <c r="P1107" s="3"/>
      <c r="Q1107" s="9"/>
      <c r="R1107" s="10"/>
      <c r="S1107" s="10"/>
      <c r="T1107" s="7"/>
      <c r="U1107" s="7"/>
    </row>
    <row r="1108" spans="1:21" x14ac:dyDescent="0.25">
      <c r="A1108" s="4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6"/>
      <c r="M1108" s="6"/>
      <c r="N1108" s="3"/>
      <c r="O1108" s="3"/>
      <c r="P1108" s="3"/>
      <c r="Q1108" s="9"/>
      <c r="R1108" s="10"/>
      <c r="S1108" s="10"/>
      <c r="T1108" s="7"/>
      <c r="U1108" s="7"/>
    </row>
    <row r="1109" spans="1:21" x14ac:dyDescent="0.25">
      <c r="A1109" s="4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6"/>
      <c r="M1109" s="6"/>
      <c r="N1109" s="3"/>
      <c r="O1109" s="3"/>
      <c r="P1109" s="3"/>
      <c r="Q1109" s="9"/>
      <c r="R1109" s="10"/>
      <c r="S1109" s="10"/>
      <c r="T1109" s="7"/>
      <c r="U1109" s="7"/>
    </row>
    <row r="1110" spans="1:21" x14ac:dyDescent="0.25">
      <c r="A1110" s="4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6"/>
      <c r="M1110" s="6"/>
      <c r="N1110" s="3"/>
      <c r="O1110" s="3"/>
      <c r="P1110" s="3"/>
      <c r="Q1110" s="9"/>
      <c r="R1110" s="10"/>
      <c r="S1110" s="10"/>
      <c r="T1110" s="7"/>
      <c r="U1110" s="7"/>
    </row>
    <row r="1111" spans="1:21" x14ac:dyDescent="0.25">
      <c r="A1111" s="4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6"/>
      <c r="M1111" s="6"/>
      <c r="N1111" s="3"/>
      <c r="O1111" s="3"/>
      <c r="P1111" s="3"/>
      <c r="Q1111" s="9"/>
      <c r="R1111" s="10"/>
      <c r="S1111" s="10"/>
      <c r="T1111" s="7"/>
      <c r="U1111" s="7"/>
    </row>
    <row r="1112" spans="1:21" x14ac:dyDescent="0.25">
      <c r="A1112" s="4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6"/>
      <c r="M1112" s="6"/>
      <c r="N1112" s="3"/>
      <c r="O1112" s="3"/>
      <c r="P1112" s="3"/>
      <c r="Q1112" s="9"/>
      <c r="R1112" s="10"/>
      <c r="S1112" s="10"/>
      <c r="T1112" s="7"/>
      <c r="U1112" s="7"/>
    </row>
    <row r="1113" spans="1:21" x14ac:dyDescent="0.25">
      <c r="A1113" s="4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6"/>
      <c r="M1113" s="6"/>
      <c r="N1113" s="3"/>
      <c r="O1113" s="3"/>
      <c r="P1113" s="3"/>
      <c r="Q1113" s="9"/>
      <c r="R1113" s="10"/>
      <c r="S1113" s="10"/>
      <c r="T1113" s="7"/>
      <c r="U1113" s="7"/>
    </row>
    <row r="1114" spans="1:21" x14ac:dyDescent="0.25">
      <c r="A1114" s="4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6"/>
      <c r="M1114" s="6"/>
      <c r="N1114" s="3"/>
      <c r="O1114" s="3"/>
      <c r="P1114" s="3"/>
      <c r="Q1114" s="9"/>
      <c r="R1114" s="10"/>
      <c r="S1114" s="10"/>
      <c r="T1114" s="7"/>
      <c r="U1114" s="7"/>
    </row>
    <row r="1115" spans="1:21" x14ac:dyDescent="0.25">
      <c r="A1115" s="4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6"/>
      <c r="M1115" s="6"/>
      <c r="N1115" s="3"/>
      <c r="O1115" s="3"/>
      <c r="P1115" s="3"/>
      <c r="Q1115" s="9"/>
      <c r="R1115" s="10"/>
      <c r="S1115" s="10"/>
      <c r="T1115" s="7"/>
      <c r="U1115" s="7"/>
    </row>
    <row r="1116" spans="1:21" x14ac:dyDescent="0.25">
      <c r="A1116" s="4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6"/>
      <c r="M1116" s="6"/>
      <c r="N1116" s="3"/>
      <c r="O1116" s="3"/>
      <c r="P1116" s="3"/>
      <c r="Q1116" s="9"/>
      <c r="R1116" s="10"/>
      <c r="S1116" s="10"/>
      <c r="T1116" s="7"/>
      <c r="U1116" s="7"/>
    </row>
    <row r="1117" spans="1:21" x14ac:dyDescent="0.25">
      <c r="A1117" s="4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6"/>
      <c r="M1117" s="6"/>
      <c r="N1117" s="3"/>
      <c r="O1117" s="3"/>
      <c r="P1117" s="3"/>
      <c r="Q1117" s="9"/>
      <c r="R1117" s="10"/>
      <c r="S1117" s="10"/>
      <c r="T1117" s="7"/>
      <c r="U1117" s="7"/>
    </row>
    <row r="1118" spans="1:21" x14ac:dyDescent="0.25">
      <c r="A1118" s="4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6"/>
      <c r="M1118" s="6"/>
      <c r="N1118" s="3"/>
      <c r="O1118" s="3"/>
      <c r="P1118" s="3"/>
      <c r="Q1118" s="9"/>
      <c r="R1118" s="10"/>
      <c r="S1118" s="10"/>
      <c r="T1118" s="7"/>
      <c r="U1118" s="7"/>
    </row>
    <row r="1119" spans="1:21" x14ac:dyDescent="0.25">
      <c r="A1119" s="4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6"/>
      <c r="M1119" s="6"/>
      <c r="N1119" s="3"/>
      <c r="O1119" s="3"/>
      <c r="P1119" s="3"/>
      <c r="Q1119" s="9"/>
      <c r="R1119" s="10"/>
      <c r="S1119" s="10"/>
      <c r="T1119" s="7"/>
      <c r="U1119" s="7"/>
    </row>
    <row r="1120" spans="1:21" x14ac:dyDescent="0.25">
      <c r="A1120" s="4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6"/>
      <c r="M1120" s="6"/>
      <c r="N1120" s="3"/>
      <c r="O1120" s="3"/>
      <c r="P1120" s="3"/>
      <c r="Q1120" s="9"/>
      <c r="R1120" s="10"/>
      <c r="S1120" s="10"/>
      <c r="T1120" s="7"/>
      <c r="U1120" s="7"/>
    </row>
    <row r="1121" spans="1:21" x14ac:dyDescent="0.25">
      <c r="A1121" s="4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6"/>
      <c r="M1121" s="6"/>
      <c r="N1121" s="3"/>
      <c r="O1121" s="3"/>
      <c r="P1121" s="3"/>
      <c r="Q1121" s="9"/>
      <c r="R1121" s="10"/>
      <c r="S1121" s="10"/>
      <c r="T1121" s="7"/>
      <c r="U1121" s="7"/>
    </row>
    <row r="1122" spans="1:21" x14ac:dyDescent="0.25">
      <c r="A1122" s="4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6"/>
      <c r="M1122" s="6"/>
      <c r="N1122" s="3"/>
      <c r="O1122" s="3"/>
      <c r="P1122" s="3"/>
      <c r="Q1122" s="9"/>
      <c r="R1122" s="10"/>
      <c r="S1122" s="10"/>
      <c r="T1122" s="7"/>
      <c r="U1122" s="7"/>
    </row>
    <row r="1123" spans="1:21" x14ac:dyDescent="0.25">
      <c r="A1123" s="4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6"/>
      <c r="M1123" s="6"/>
      <c r="N1123" s="3"/>
      <c r="O1123" s="3"/>
      <c r="P1123" s="3"/>
      <c r="Q1123" s="9"/>
      <c r="R1123" s="10"/>
      <c r="S1123" s="10"/>
      <c r="T1123" s="7"/>
      <c r="U1123" s="7"/>
    </row>
    <row r="1124" spans="1:21" x14ac:dyDescent="0.25">
      <c r="A1124" s="4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6"/>
      <c r="M1124" s="6"/>
      <c r="N1124" s="3"/>
      <c r="O1124" s="3"/>
      <c r="P1124" s="3"/>
      <c r="Q1124" s="9"/>
      <c r="R1124" s="10"/>
      <c r="S1124" s="10"/>
      <c r="T1124" s="7"/>
      <c r="U1124" s="7"/>
    </row>
    <row r="1125" spans="1:21" x14ac:dyDescent="0.25">
      <c r="A1125" s="4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6"/>
      <c r="M1125" s="6"/>
      <c r="N1125" s="3"/>
      <c r="O1125" s="3"/>
      <c r="P1125" s="3"/>
      <c r="Q1125" s="9"/>
      <c r="R1125" s="10"/>
      <c r="S1125" s="10"/>
      <c r="T1125" s="7"/>
      <c r="U1125" s="7"/>
    </row>
    <row r="1126" spans="1:21" x14ac:dyDescent="0.25">
      <c r="A1126" s="4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6"/>
      <c r="M1126" s="6"/>
      <c r="N1126" s="3"/>
      <c r="O1126" s="3"/>
      <c r="P1126" s="3"/>
      <c r="Q1126" s="9"/>
      <c r="R1126" s="10"/>
      <c r="S1126" s="10"/>
      <c r="T1126" s="7"/>
      <c r="U1126" s="7"/>
    </row>
    <row r="1127" spans="1:21" x14ac:dyDescent="0.25">
      <c r="A1127" s="4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6"/>
      <c r="M1127" s="6"/>
      <c r="N1127" s="3"/>
      <c r="O1127" s="3"/>
      <c r="P1127" s="3"/>
      <c r="Q1127" s="9"/>
      <c r="R1127" s="10"/>
      <c r="S1127" s="10"/>
      <c r="T1127" s="7"/>
      <c r="U1127" s="7"/>
    </row>
    <row r="1128" spans="1:21" x14ac:dyDescent="0.25">
      <c r="A1128" s="4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6"/>
      <c r="M1128" s="6"/>
      <c r="N1128" s="3"/>
      <c r="O1128" s="3"/>
      <c r="P1128" s="3"/>
      <c r="Q1128" s="9"/>
      <c r="R1128" s="10"/>
      <c r="S1128" s="10"/>
      <c r="T1128" s="7"/>
      <c r="U1128" s="7"/>
    </row>
    <row r="1129" spans="1:21" x14ac:dyDescent="0.25">
      <c r="A1129" s="4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6"/>
      <c r="M1129" s="6"/>
      <c r="N1129" s="3"/>
      <c r="O1129" s="3"/>
      <c r="P1129" s="3"/>
      <c r="Q1129" s="9"/>
      <c r="R1129" s="10"/>
      <c r="S1129" s="10"/>
      <c r="T1129" s="7"/>
      <c r="U1129" s="7"/>
    </row>
    <row r="1130" spans="1:21" x14ac:dyDescent="0.25">
      <c r="A1130" s="4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6"/>
      <c r="M1130" s="6"/>
      <c r="N1130" s="3"/>
      <c r="O1130" s="3"/>
      <c r="P1130" s="3"/>
      <c r="Q1130" s="9"/>
      <c r="R1130" s="10"/>
      <c r="S1130" s="10"/>
      <c r="T1130" s="7"/>
      <c r="U1130" s="7"/>
    </row>
    <row r="1131" spans="1:21" x14ac:dyDescent="0.25">
      <c r="A1131" s="4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6"/>
      <c r="M1131" s="6"/>
      <c r="N1131" s="3"/>
      <c r="O1131" s="3"/>
      <c r="P1131" s="3"/>
      <c r="Q1131" s="9"/>
      <c r="R1131" s="10"/>
      <c r="S1131" s="10"/>
      <c r="T1131" s="7"/>
      <c r="U1131" s="7"/>
    </row>
    <row r="1132" spans="1:21" x14ac:dyDescent="0.25">
      <c r="A1132" s="4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6"/>
      <c r="M1132" s="6"/>
      <c r="N1132" s="3"/>
      <c r="O1132" s="3"/>
      <c r="P1132" s="3"/>
      <c r="Q1132" s="9"/>
      <c r="R1132" s="10"/>
      <c r="S1132" s="10"/>
      <c r="T1132" s="7"/>
      <c r="U1132" s="7"/>
    </row>
    <row r="1133" spans="1:21" x14ac:dyDescent="0.25">
      <c r="A1133" s="4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6"/>
      <c r="M1133" s="6"/>
      <c r="N1133" s="3"/>
      <c r="O1133" s="3"/>
      <c r="P1133" s="3"/>
      <c r="Q1133" s="9"/>
      <c r="R1133" s="10"/>
      <c r="S1133" s="10"/>
      <c r="T1133" s="7"/>
      <c r="U1133" s="7"/>
    </row>
    <row r="1134" spans="1:21" x14ac:dyDescent="0.25">
      <c r="A1134" s="4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6"/>
      <c r="M1134" s="6"/>
      <c r="N1134" s="3"/>
      <c r="O1134" s="3"/>
      <c r="P1134" s="3"/>
      <c r="Q1134" s="9"/>
      <c r="R1134" s="10"/>
      <c r="S1134" s="10"/>
      <c r="T1134" s="7"/>
      <c r="U1134" s="7"/>
    </row>
    <row r="1135" spans="1:21" x14ac:dyDescent="0.25">
      <c r="A1135" s="4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6"/>
      <c r="M1135" s="6"/>
      <c r="N1135" s="3"/>
      <c r="O1135" s="3"/>
      <c r="P1135" s="3"/>
      <c r="Q1135" s="9"/>
      <c r="R1135" s="10"/>
      <c r="S1135" s="10"/>
      <c r="T1135" s="7"/>
      <c r="U1135" s="7"/>
    </row>
    <row r="1136" spans="1:21" x14ac:dyDescent="0.25">
      <c r="A1136" s="4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6"/>
      <c r="M1136" s="6"/>
      <c r="N1136" s="3"/>
      <c r="O1136" s="3"/>
      <c r="P1136" s="3"/>
      <c r="Q1136" s="9"/>
      <c r="R1136" s="10"/>
      <c r="S1136" s="10"/>
      <c r="T1136" s="7"/>
      <c r="U1136" s="7"/>
    </row>
    <row r="1137" spans="1:21" x14ac:dyDescent="0.25">
      <c r="A1137" s="4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6"/>
      <c r="M1137" s="6"/>
      <c r="N1137" s="3"/>
      <c r="O1137" s="3"/>
      <c r="P1137" s="3"/>
      <c r="Q1137" s="9"/>
      <c r="R1137" s="10"/>
      <c r="S1137" s="10"/>
      <c r="T1137" s="7"/>
      <c r="U1137" s="7"/>
    </row>
    <row r="1138" spans="1:21" x14ac:dyDescent="0.25">
      <c r="A1138" s="4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6"/>
      <c r="M1138" s="6"/>
      <c r="N1138" s="3"/>
      <c r="O1138" s="3"/>
      <c r="P1138" s="3"/>
      <c r="Q1138" s="9"/>
      <c r="R1138" s="10"/>
      <c r="S1138" s="10"/>
      <c r="T1138" s="7"/>
      <c r="U1138" s="7"/>
    </row>
    <row r="1139" spans="1:21" x14ac:dyDescent="0.25">
      <c r="A1139" s="4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6"/>
      <c r="M1139" s="6"/>
      <c r="N1139" s="3"/>
      <c r="O1139" s="3"/>
      <c r="P1139" s="3"/>
      <c r="Q1139" s="9"/>
      <c r="R1139" s="10"/>
      <c r="S1139" s="10"/>
      <c r="T1139" s="7"/>
      <c r="U1139" s="7"/>
    </row>
    <row r="1140" spans="1:21" x14ac:dyDescent="0.25">
      <c r="A1140" s="4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6"/>
      <c r="M1140" s="6"/>
      <c r="N1140" s="3"/>
      <c r="O1140" s="3"/>
      <c r="P1140" s="3"/>
      <c r="Q1140" s="9"/>
      <c r="R1140" s="10"/>
      <c r="S1140" s="10"/>
      <c r="T1140" s="7"/>
      <c r="U1140" s="7"/>
    </row>
    <row r="1141" spans="1:21" x14ac:dyDescent="0.25">
      <c r="A1141" s="4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6"/>
      <c r="M1141" s="6"/>
      <c r="N1141" s="3"/>
      <c r="O1141" s="3"/>
      <c r="P1141" s="3"/>
      <c r="Q1141" s="9"/>
      <c r="R1141" s="10"/>
      <c r="S1141" s="10"/>
      <c r="T1141" s="7"/>
      <c r="U1141" s="7"/>
    </row>
    <row r="1142" spans="1:21" x14ac:dyDescent="0.25">
      <c r="A1142" s="4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6"/>
      <c r="M1142" s="6"/>
      <c r="N1142" s="3"/>
      <c r="O1142" s="3"/>
      <c r="P1142" s="3"/>
      <c r="Q1142" s="9"/>
      <c r="R1142" s="10"/>
      <c r="S1142" s="10"/>
      <c r="T1142" s="7"/>
      <c r="U1142" s="7"/>
    </row>
    <row r="1143" spans="1:21" x14ac:dyDescent="0.25">
      <c r="A1143" s="4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6"/>
      <c r="M1143" s="6"/>
      <c r="N1143" s="3"/>
      <c r="O1143" s="3"/>
      <c r="P1143" s="3"/>
      <c r="Q1143" s="9"/>
      <c r="R1143" s="10"/>
      <c r="S1143" s="10"/>
      <c r="T1143" s="7"/>
      <c r="U1143" s="7"/>
    </row>
    <row r="1144" spans="1:21" x14ac:dyDescent="0.25">
      <c r="A1144" s="4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6"/>
      <c r="M1144" s="6"/>
      <c r="N1144" s="3"/>
      <c r="O1144" s="3"/>
      <c r="P1144" s="3"/>
      <c r="Q1144" s="9"/>
      <c r="R1144" s="10"/>
      <c r="S1144" s="10"/>
      <c r="T1144" s="7"/>
      <c r="U1144" s="7"/>
    </row>
    <row r="1145" spans="1:21" x14ac:dyDescent="0.25">
      <c r="A1145" s="4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6"/>
      <c r="M1145" s="6"/>
      <c r="N1145" s="3"/>
      <c r="O1145" s="3"/>
      <c r="P1145" s="3"/>
      <c r="Q1145" s="9"/>
      <c r="R1145" s="10"/>
      <c r="S1145" s="10"/>
      <c r="T1145" s="7"/>
      <c r="U1145" s="7"/>
    </row>
    <row r="1146" spans="1:21" x14ac:dyDescent="0.25">
      <c r="A1146" s="4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6"/>
      <c r="M1146" s="6"/>
      <c r="N1146" s="3"/>
      <c r="O1146" s="3"/>
      <c r="P1146" s="3"/>
      <c r="Q1146" s="9"/>
      <c r="R1146" s="10"/>
      <c r="S1146" s="10"/>
      <c r="T1146" s="7"/>
      <c r="U1146" s="7"/>
    </row>
    <row r="1147" spans="1:21" x14ac:dyDescent="0.25">
      <c r="A1147" s="4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6"/>
      <c r="M1147" s="6"/>
      <c r="N1147" s="3"/>
      <c r="O1147" s="3"/>
      <c r="P1147" s="3"/>
      <c r="Q1147" s="9"/>
      <c r="R1147" s="10"/>
      <c r="S1147" s="10"/>
      <c r="T1147" s="7"/>
      <c r="U1147" s="7"/>
    </row>
    <row r="1148" spans="1:21" x14ac:dyDescent="0.25">
      <c r="A1148" s="4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6"/>
      <c r="M1148" s="6"/>
      <c r="N1148" s="3"/>
      <c r="O1148" s="3"/>
      <c r="P1148" s="3"/>
      <c r="Q1148" s="9"/>
      <c r="R1148" s="10"/>
      <c r="S1148" s="10"/>
      <c r="T1148" s="7"/>
      <c r="U1148" s="7"/>
    </row>
    <row r="1149" spans="1:21" x14ac:dyDescent="0.25">
      <c r="A1149" s="4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6"/>
      <c r="M1149" s="6"/>
      <c r="N1149" s="3"/>
      <c r="O1149" s="3"/>
      <c r="P1149" s="3"/>
      <c r="Q1149" s="9"/>
      <c r="R1149" s="10"/>
      <c r="S1149" s="10"/>
      <c r="T1149" s="7"/>
      <c r="U1149" s="7"/>
    </row>
    <row r="1150" spans="1:21" x14ac:dyDescent="0.25">
      <c r="A1150" s="4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6"/>
      <c r="M1150" s="6"/>
      <c r="N1150" s="3"/>
      <c r="O1150" s="3"/>
      <c r="P1150" s="3"/>
      <c r="Q1150" s="9"/>
      <c r="R1150" s="10"/>
      <c r="S1150" s="10"/>
      <c r="T1150" s="7"/>
      <c r="U1150" s="7"/>
    </row>
    <row r="1151" spans="1:21" x14ac:dyDescent="0.25">
      <c r="A1151" s="4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6"/>
      <c r="M1151" s="6"/>
      <c r="N1151" s="3"/>
      <c r="O1151" s="3"/>
      <c r="P1151" s="3"/>
      <c r="Q1151" s="9"/>
      <c r="R1151" s="10"/>
      <c r="S1151" s="10"/>
      <c r="T1151" s="7"/>
      <c r="U1151" s="7"/>
    </row>
    <row r="1152" spans="1:21" x14ac:dyDescent="0.25">
      <c r="A1152" s="4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6"/>
      <c r="M1152" s="6"/>
      <c r="N1152" s="3"/>
      <c r="O1152" s="3"/>
      <c r="P1152" s="3"/>
      <c r="Q1152" s="9"/>
      <c r="R1152" s="10"/>
      <c r="S1152" s="10"/>
      <c r="T1152" s="7"/>
      <c r="U1152" s="7"/>
    </row>
    <row r="1153" spans="1:21" x14ac:dyDescent="0.25">
      <c r="A1153" s="4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6"/>
      <c r="M1153" s="6"/>
      <c r="N1153" s="3"/>
      <c r="O1153" s="3"/>
      <c r="P1153" s="3"/>
      <c r="Q1153" s="9"/>
      <c r="R1153" s="10"/>
      <c r="S1153" s="10"/>
      <c r="T1153" s="7"/>
      <c r="U1153" s="7"/>
    </row>
    <row r="1154" spans="1:21" x14ac:dyDescent="0.25">
      <c r="A1154" s="4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6"/>
      <c r="M1154" s="6"/>
      <c r="N1154" s="3"/>
      <c r="O1154" s="3"/>
      <c r="P1154" s="3"/>
      <c r="Q1154" s="9"/>
      <c r="R1154" s="10"/>
      <c r="S1154" s="10"/>
      <c r="T1154" s="7"/>
      <c r="U1154" s="7"/>
    </row>
    <row r="1155" spans="1:21" x14ac:dyDescent="0.25">
      <c r="A1155" s="4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6"/>
      <c r="M1155" s="6"/>
      <c r="N1155" s="3"/>
      <c r="O1155" s="3"/>
      <c r="P1155" s="3"/>
      <c r="Q1155" s="9"/>
      <c r="R1155" s="10"/>
      <c r="S1155" s="10"/>
      <c r="T1155" s="7"/>
      <c r="U1155" s="7"/>
    </row>
    <row r="1156" spans="1:21" x14ac:dyDescent="0.25">
      <c r="A1156" s="4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6"/>
      <c r="M1156" s="6"/>
      <c r="N1156" s="3"/>
      <c r="O1156" s="3"/>
      <c r="P1156" s="3"/>
      <c r="Q1156" s="9"/>
      <c r="R1156" s="10"/>
      <c r="S1156" s="10"/>
      <c r="T1156" s="7"/>
      <c r="U1156" s="7"/>
    </row>
    <row r="1157" spans="1:21" x14ac:dyDescent="0.25">
      <c r="A1157" s="4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6"/>
      <c r="M1157" s="6"/>
      <c r="N1157" s="3"/>
      <c r="O1157" s="3"/>
      <c r="P1157" s="3"/>
      <c r="Q1157" s="9"/>
      <c r="R1157" s="10"/>
      <c r="S1157" s="10"/>
      <c r="T1157" s="7"/>
      <c r="U1157" s="7"/>
    </row>
    <row r="1158" spans="1:21" x14ac:dyDescent="0.25">
      <c r="A1158" s="4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6"/>
      <c r="M1158" s="6"/>
      <c r="N1158" s="3"/>
      <c r="O1158" s="3"/>
      <c r="P1158" s="3"/>
      <c r="Q1158" s="9"/>
      <c r="R1158" s="10"/>
      <c r="S1158" s="10"/>
      <c r="T1158" s="7"/>
      <c r="U1158" s="7"/>
    </row>
    <row r="1159" spans="1:21" x14ac:dyDescent="0.25">
      <c r="A1159" s="4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6"/>
      <c r="M1159" s="6"/>
      <c r="N1159" s="3"/>
      <c r="O1159" s="3"/>
      <c r="P1159" s="3"/>
      <c r="Q1159" s="9"/>
      <c r="R1159" s="10"/>
      <c r="S1159" s="10"/>
      <c r="T1159" s="7"/>
      <c r="U1159" s="7"/>
    </row>
    <row r="1160" spans="1:21" x14ac:dyDescent="0.25">
      <c r="A1160" s="4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6"/>
      <c r="M1160" s="6"/>
      <c r="N1160" s="3"/>
      <c r="O1160" s="3"/>
      <c r="P1160" s="3"/>
      <c r="Q1160" s="9"/>
      <c r="R1160" s="10"/>
      <c r="S1160" s="10"/>
      <c r="T1160" s="7"/>
      <c r="U1160" s="7"/>
    </row>
    <row r="1161" spans="1:21" x14ac:dyDescent="0.25">
      <c r="A1161" s="4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6"/>
      <c r="M1161" s="6"/>
      <c r="N1161" s="3"/>
      <c r="O1161" s="3"/>
      <c r="P1161" s="3"/>
      <c r="Q1161" s="9"/>
      <c r="R1161" s="10"/>
      <c r="S1161" s="10"/>
      <c r="T1161" s="7"/>
      <c r="U1161" s="7"/>
    </row>
    <row r="1162" spans="1:21" x14ac:dyDescent="0.25">
      <c r="A1162" s="4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6"/>
      <c r="M1162" s="6"/>
      <c r="N1162" s="3"/>
      <c r="O1162" s="3"/>
      <c r="P1162" s="3"/>
      <c r="Q1162" s="9"/>
      <c r="R1162" s="10"/>
      <c r="S1162" s="10"/>
      <c r="T1162" s="7"/>
      <c r="U1162" s="7"/>
    </row>
    <row r="1163" spans="1:21" x14ac:dyDescent="0.25">
      <c r="A1163" s="4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6"/>
      <c r="M1163" s="6"/>
      <c r="N1163" s="3"/>
      <c r="O1163" s="3"/>
      <c r="P1163" s="3"/>
      <c r="Q1163" s="9"/>
      <c r="R1163" s="10"/>
      <c r="S1163" s="10"/>
      <c r="T1163" s="7"/>
      <c r="U1163" s="7"/>
    </row>
    <row r="1164" spans="1:21" x14ac:dyDescent="0.25">
      <c r="A1164" s="4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6"/>
      <c r="M1164" s="6"/>
      <c r="N1164" s="3"/>
      <c r="O1164" s="3"/>
      <c r="P1164" s="3"/>
      <c r="Q1164" s="9"/>
      <c r="R1164" s="10"/>
      <c r="S1164" s="10"/>
      <c r="T1164" s="7"/>
      <c r="U1164" s="7"/>
    </row>
  </sheetData>
  <autoFilter ref="A1:V616" xr:uid="{23849C3F-791D-4DD0-83AD-DB8372CB8CEE}"/>
  <sortState xmlns:xlrd2="http://schemas.microsoft.com/office/spreadsheetml/2017/richdata2" ref="A2:V594">
    <sortCondition ref="G1:G5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F130-83A7-4A26-A095-88FFC27D1F7B}">
  <dimension ref="A1:V404"/>
  <sheetViews>
    <sheetView tabSelected="1" zoomScale="110" zoomScaleNormal="110" workbookViewId="0">
      <pane ySplit="1" topLeftCell="A2" activePane="bottomLeft" state="frozen"/>
      <selection pane="bottomLeft" activeCell="R2" sqref="R2"/>
    </sheetView>
  </sheetViews>
  <sheetFormatPr defaultColWidth="8.85546875" defaultRowHeight="15" x14ac:dyDescent="0.25"/>
  <cols>
    <col min="1" max="1" width="9.42578125" style="4" bestFit="1" customWidth="1"/>
    <col min="2" max="2" width="12.42578125" style="4" bestFit="1" customWidth="1"/>
    <col min="3" max="3" width="9.7109375" style="4" bestFit="1" customWidth="1"/>
    <col min="4" max="4" width="8.85546875" style="4" bestFit="1" customWidth="1"/>
    <col min="5" max="5" width="9.7109375" style="4" bestFit="1" customWidth="1"/>
    <col min="6" max="6" width="12" style="4" bestFit="1" customWidth="1"/>
    <col min="7" max="7" width="9.140625" style="4" bestFit="1" customWidth="1"/>
    <col min="8" max="8" width="8.140625" style="4" bestFit="1" customWidth="1"/>
    <col min="9" max="9" width="9" style="4" bestFit="1" customWidth="1"/>
    <col min="10" max="10" width="8.28515625" style="4" bestFit="1" customWidth="1"/>
    <col min="11" max="11" width="7.7109375" style="4" bestFit="1" customWidth="1"/>
    <col min="12" max="12" width="11.42578125" style="5" bestFit="1" customWidth="1"/>
    <col min="13" max="13" width="14.7109375" style="5" bestFit="1" customWidth="1"/>
    <col min="14" max="14" width="11.7109375" style="4" bestFit="1" customWidth="1"/>
    <col min="15" max="15" width="10.5703125" style="4" bestFit="1" customWidth="1"/>
    <col min="16" max="16" width="7.85546875" style="4" bestFit="1" customWidth="1"/>
    <col min="17" max="17" width="14.7109375" style="5" bestFit="1" customWidth="1"/>
    <col min="18" max="18" width="10.7109375" style="5" bestFit="1" customWidth="1"/>
    <col min="19" max="19" width="10" style="5" bestFit="1" customWidth="1"/>
    <col min="20" max="20" width="9.7109375" style="4" bestFit="1" customWidth="1"/>
    <col min="21" max="21" width="10" style="4" bestFit="1" customWidth="1"/>
    <col min="22" max="22" width="10" style="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4">
        <v>2023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>
        <v>101</v>
      </c>
      <c r="H2" s="3">
        <v>1</v>
      </c>
      <c r="I2" s="3">
        <v>1</v>
      </c>
      <c r="J2" s="3">
        <v>13</v>
      </c>
      <c r="K2" s="3">
        <v>1</v>
      </c>
      <c r="L2" s="2" t="s">
        <v>27</v>
      </c>
      <c r="M2" s="2" t="s">
        <v>658</v>
      </c>
      <c r="N2" s="3">
        <v>12.9</v>
      </c>
      <c r="O2" s="3">
        <v>15</v>
      </c>
      <c r="P2" s="3">
        <v>47.1</v>
      </c>
      <c r="Q2" s="9">
        <f>N2*(1-O2/100)/(1-0.12)</f>
        <v>12.460227272727273</v>
      </c>
      <c r="R2" s="9">
        <f>((10000*Q2*12%/2.205))/((4.66*16)/10.764)</f>
        <v>978.96328839768444</v>
      </c>
      <c r="S2" s="10">
        <f>R2/1.121</f>
        <v>873.29463728606993</v>
      </c>
      <c r="T2" s="7">
        <v>69.900000000000006</v>
      </c>
      <c r="U2" s="7">
        <v>51.7</v>
      </c>
      <c r="V2" s="4"/>
    </row>
    <row r="3" spans="1:22" x14ac:dyDescent="0.25">
      <c r="A3" s="4">
        <v>2023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29</v>
      </c>
      <c r="G3" s="3">
        <v>102</v>
      </c>
      <c r="H3" s="3">
        <v>2</v>
      </c>
      <c r="I3" s="3">
        <v>1</v>
      </c>
      <c r="J3" s="3">
        <v>11</v>
      </c>
      <c r="K3" s="3">
        <v>1</v>
      </c>
      <c r="L3" s="2" t="s">
        <v>27</v>
      </c>
      <c r="M3" s="2" t="s">
        <v>657</v>
      </c>
      <c r="N3" s="3">
        <v>14.93</v>
      </c>
      <c r="O3" s="3">
        <v>18.100000000000001</v>
      </c>
      <c r="P3" s="3">
        <v>46.6</v>
      </c>
      <c r="Q3" s="9">
        <f t="shared" ref="Q3:Q66" si="0">N3*(1-O3/100)/(1-0.12)</f>
        <v>13.895079545454545</v>
      </c>
      <c r="R3" s="9">
        <f t="shared" ref="R3:R66" si="1">((10000*Q3*12%/2.205))/((4.66*16)/10.764)</f>
        <v>1091.6953974137448</v>
      </c>
      <c r="S3" s="10">
        <f t="shared" ref="S3:S66" si="2">R3/1.121</f>
        <v>973.8585168722077</v>
      </c>
      <c r="T3" s="7">
        <v>74.900000000000006</v>
      </c>
      <c r="U3" s="7">
        <v>69.599999999999994</v>
      </c>
      <c r="V3" s="4"/>
    </row>
    <row r="4" spans="1:22" x14ac:dyDescent="0.25">
      <c r="A4" s="4">
        <v>2023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31</v>
      </c>
      <c r="G4" s="3">
        <v>103</v>
      </c>
      <c r="H4" s="3">
        <v>3</v>
      </c>
      <c r="I4" s="3">
        <v>1</v>
      </c>
      <c r="J4" s="3">
        <v>19</v>
      </c>
      <c r="K4" s="3">
        <v>1</v>
      </c>
      <c r="L4" s="2" t="s">
        <v>27</v>
      </c>
      <c r="M4" s="2" t="s">
        <v>658</v>
      </c>
      <c r="N4" s="3">
        <v>17.98</v>
      </c>
      <c r="O4" s="3">
        <v>20.3</v>
      </c>
      <c r="P4" s="3">
        <v>46.4</v>
      </c>
      <c r="Q4" s="9">
        <f t="shared" si="0"/>
        <v>16.284159090909089</v>
      </c>
      <c r="R4" s="9">
        <f t="shared" si="1"/>
        <v>1279.3983274542743</v>
      </c>
      <c r="S4" s="10">
        <f t="shared" si="2"/>
        <v>1141.3009165515382</v>
      </c>
      <c r="T4" s="7">
        <v>70.5</v>
      </c>
      <c r="U4" s="7">
        <v>64.3</v>
      </c>
      <c r="V4" s="4"/>
    </row>
    <row r="5" spans="1:22" x14ac:dyDescent="0.25">
      <c r="A5" s="4">
        <v>2023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32</v>
      </c>
      <c r="G5" s="3">
        <v>104</v>
      </c>
      <c r="H5" s="3">
        <v>4</v>
      </c>
      <c r="I5" s="3">
        <v>1</v>
      </c>
      <c r="J5" s="3">
        <v>7</v>
      </c>
      <c r="K5" s="3">
        <v>1</v>
      </c>
      <c r="L5" s="2" t="s">
        <v>27</v>
      </c>
      <c r="M5" s="2" t="s">
        <v>658</v>
      </c>
      <c r="N5" s="3">
        <v>16.61</v>
      </c>
      <c r="O5" s="3">
        <v>12.7</v>
      </c>
      <c r="P5" s="3">
        <v>48.4</v>
      </c>
      <c r="Q5" s="9">
        <f t="shared" si="0"/>
        <v>16.477875000000001</v>
      </c>
      <c r="R5" s="9">
        <f t="shared" si="1"/>
        <v>1294.6180148024876</v>
      </c>
      <c r="S5" s="10">
        <f t="shared" si="2"/>
        <v>1154.8778008942797</v>
      </c>
      <c r="T5" s="7">
        <v>72.5</v>
      </c>
      <c r="U5" s="7">
        <v>56</v>
      </c>
      <c r="V5" s="4"/>
    </row>
    <row r="6" spans="1:22" x14ac:dyDescent="0.25">
      <c r="A6" s="4">
        <v>2023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33</v>
      </c>
      <c r="G6" s="3">
        <v>105</v>
      </c>
      <c r="H6" s="3">
        <v>5</v>
      </c>
      <c r="I6" s="3">
        <v>1</v>
      </c>
      <c r="J6" s="3">
        <v>8</v>
      </c>
      <c r="K6" s="3">
        <v>1</v>
      </c>
      <c r="L6" s="2" t="s">
        <v>27</v>
      </c>
      <c r="M6" s="2" t="s">
        <v>657</v>
      </c>
      <c r="N6" s="3">
        <v>19.22</v>
      </c>
      <c r="O6" s="3">
        <v>13.6</v>
      </c>
      <c r="P6" s="3">
        <v>48.2</v>
      </c>
      <c r="Q6" s="9">
        <f t="shared" si="0"/>
        <v>18.870545454545454</v>
      </c>
      <c r="R6" s="9">
        <f t="shared" si="1"/>
        <v>1482.6030719740097</v>
      </c>
      <c r="S6" s="10">
        <f t="shared" si="2"/>
        <v>1322.5718750883227</v>
      </c>
      <c r="T6" s="7">
        <v>71.5</v>
      </c>
      <c r="U6" s="7">
        <v>55.9</v>
      </c>
      <c r="V6" s="4"/>
    </row>
    <row r="7" spans="1:22" x14ac:dyDescent="0.25">
      <c r="A7" s="4">
        <v>2023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34</v>
      </c>
      <c r="G7" s="3">
        <v>106</v>
      </c>
      <c r="H7" s="3">
        <v>6</v>
      </c>
      <c r="I7" s="3">
        <v>1</v>
      </c>
      <c r="J7" s="3">
        <v>13</v>
      </c>
      <c r="K7" s="3">
        <v>2</v>
      </c>
      <c r="L7" s="2" t="s">
        <v>27</v>
      </c>
      <c r="M7" s="2" t="s">
        <v>658</v>
      </c>
      <c r="N7" s="3">
        <v>13.25</v>
      </c>
      <c r="O7" s="3">
        <v>14</v>
      </c>
      <c r="P7" s="3">
        <v>47.6</v>
      </c>
      <c r="Q7" s="9">
        <f t="shared" si="0"/>
        <v>12.948863636363637</v>
      </c>
      <c r="R7" s="9">
        <f t="shared" si="1"/>
        <v>1017.3540055897505</v>
      </c>
      <c r="S7" s="10">
        <f t="shared" si="2"/>
        <v>907.54148580709239</v>
      </c>
      <c r="T7" s="7">
        <v>70.5</v>
      </c>
      <c r="U7" s="7">
        <v>55.2</v>
      </c>
      <c r="V7" s="4"/>
    </row>
    <row r="8" spans="1:22" x14ac:dyDescent="0.25">
      <c r="A8" s="4">
        <v>2023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35</v>
      </c>
      <c r="G8" s="3">
        <v>107</v>
      </c>
      <c r="H8" s="3">
        <v>7</v>
      </c>
      <c r="I8" s="3">
        <v>1</v>
      </c>
      <c r="J8" s="3">
        <v>11</v>
      </c>
      <c r="K8" s="3">
        <v>2</v>
      </c>
      <c r="L8" s="2" t="s">
        <v>27</v>
      </c>
      <c r="M8" s="2" t="s">
        <v>657</v>
      </c>
      <c r="N8" s="3">
        <v>16.100000000000001</v>
      </c>
      <c r="O8" s="3">
        <v>16.2</v>
      </c>
      <c r="P8" s="3">
        <v>47.3</v>
      </c>
      <c r="Q8" s="9">
        <f t="shared" si="0"/>
        <v>15.331590909090911</v>
      </c>
      <c r="R8" s="9">
        <f t="shared" si="1"/>
        <v>1204.5578563067834</v>
      </c>
      <c r="S8" s="10">
        <f t="shared" si="2"/>
        <v>1074.5386764556497</v>
      </c>
      <c r="T8" s="7">
        <v>75.7</v>
      </c>
      <c r="U8" s="7">
        <v>70.5</v>
      </c>
      <c r="V8" s="4"/>
    </row>
    <row r="9" spans="1:22" x14ac:dyDescent="0.25">
      <c r="A9" s="4">
        <v>2023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36</v>
      </c>
      <c r="G9" s="3">
        <v>108</v>
      </c>
      <c r="H9" s="3">
        <v>8</v>
      </c>
      <c r="I9" s="3">
        <v>1</v>
      </c>
      <c r="J9" s="3">
        <v>19</v>
      </c>
      <c r="K9" s="3">
        <v>2</v>
      </c>
      <c r="L9" s="2" t="s">
        <v>27</v>
      </c>
      <c r="M9" s="2" t="s">
        <v>658</v>
      </c>
      <c r="N9" s="3">
        <v>11.88</v>
      </c>
      <c r="O9" s="3">
        <v>17.5</v>
      </c>
      <c r="P9" s="3">
        <v>47</v>
      </c>
      <c r="Q9" s="9">
        <f t="shared" si="0"/>
        <v>11.137499999999999</v>
      </c>
      <c r="R9" s="9">
        <f t="shared" si="1"/>
        <v>875.04050976613814</v>
      </c>
      <c r="S9" s="10">
        <f t="shared" si="2"/>
        <v>780.58921477800016</v>
      </c>
      <c r="T9" s="7">
        <v>70.7</v>
      </c>
      <c r="U9" s="7">
        <v>64.3</v>
      </c>
      <c r="V9" s="4"/>
    </row>
    <row r="10" spans="1:22" x14ac:dyDescent="0.25">
      <c r="A10" s="4">
        <v>2023</v>
      </c>
      <c r="B10" s="3" t="s">
        <v>22</v>
      </c>
      <c r="C10" s="3" t="s">
        <v>23</v>
      </c>
      <c r="D10" s="3" t="s">
        <v>24</v>
      </c>
      <c r="E10" s="3" t="s">
        <v>25</v>
      </c>
      <c r="F10" s="3" t="s">
        <v>37</v>
      </c>
      <c r="G10" s="3">
        <v>109</v>
      </c>
      <c r="H10" s="3">
        <v>9</v>
      </c>
      <c r="I10" s="3">
        <v>1</v>
      </c>
      <c r="J10" s="3">
        <v>7</v>
      </c>
      <c r="K10" s="3">
        <v>2</v>
      </c>
      <c r="L10" s="2" t="s">
        <v>27</v>
      </c>
      <c r="M10" s="2" t="s">
        <v>658</v>
      </c>
      <c r="N10" s="3">
        <v>17.989999999999998</v>
      </c>
      <c r="O10" s="3">
        <v>13.5</v>
      </c>
      <c r="P10" s="3">
        <v>48.4</v>
      </c>
      <c r="Q10" s="9">
        <f t="shared" si="0"/>
        <v>17.683352272727273</v>
      </c>
      <c r="R10" s="9">
        <f t="shared" si="1"/>
        <v>1389.328806922691</v>
      </c>
      <c r="S10" s="10">
        <f t="shared" si="2"/>
        <v>1239.3655726339796</v>
      </c>
      <c r="T10" s="7">
        <v>71.8</v>
      </c>
      <c r="U10" s="7">
        <v>59.4</v>
      </c>
      <c r="V10" s="4"/>
    </row>
    <row r="11" spans="1:22" x14ac:dyDescent="0.25">
      <c r="A11" s="4">
        <v>2023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38</v>
      </c>
      <c r="G11" s="3">
        <v>110</v>
      </c>
      <c r="H11" s="3">
        <v>10</v>
      </c>
      <c r="I11" s="3">
        <v>1</v>
      </c>
      <c r="J11" s="3">
        <v>8</v>
      </c>
      <c r="K11" s="3">
        <v>2</v>
      </c>
      <c r="L11" s="2" t="s">
        <v>27</v>
      </c>
      <c r="M11" s="2" t="s">
        <v>657</v>
      </c>
      <c r="N11" s="3">
        <v>18.829999999999998</v>
      </c>
      <c r="O11" s="3">
        <v>13.2</v>
      </c>
      <c r="P11" s="3">
        <v>48.4</v>
      </c>
      <c r="Q11" s="9">
        <f t="shared" si="0"/>
        <v>18.573227272727273</v>
      </c>
      <c r="R11" s="9">
        <f t="shared" si="1"/>
        <v>1459.2436597737026</v>
      </c>
      <c r="S11" s="10">
        <f t="shared" si="2"/>
        <v>1301.7338624207873</v>
      </c>
      <c r="T11" s="7">
        <v>71.8</v>
      </c>
      <c r="U11" s="7">
        <v>57.9</v>
      </c>
      <c r="V11" s="4"/>
    </row>
    <row r="12" spans="1:22" x14ac:dyDescent="0.25">
      <c r="A12" s="4">
        <v>2023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39</v>
      </c>
      <c r="G12" s="3">
        <v>111</v>
      </c>
      <c r="H12" s="3">
        <v>11</v>
      </c>
      <c r="I12" s="3">
        <v>1</v>
      </c>
      <c r="J12" s="3">
        <v>13</v>
      </c>
      <c r="K12" s="3">
        <v>3</v>
      </c>
      <c r="L12" s="2" t="s">
        <v>27</v>
      </c>
      <c r="M12" s="2" t="s">
        <v>658</v>
      </c>
      <c r="N12" s="3">
        <v>13.13</v>
      </c>
      <c r="O12" s="3">
        <v>11.2</v>
      </c>
      <c r="P12" s="3">
        <v>48.8</v>
      </c>
      <c r="Q12" s="9">
        <f t="shared" si="0"/>
        <v>13.249363636363636</v>
      </c>
      <c r="R12" s="9">
        <f t="shared" si="1"/>
        <v>1040.9634038554943</v>
      </c>
      <c r="S12" s="10">
        <f t="shared" si="2"/>
        <v>928.60250120918317</v>
      </c>
      <c r="T12" s="7">
        <v>70.7</v>
      </c>
      <c r="U12" s="7">
        <v>52.7</v>
      </c>
      <c r="V12" s="4"/>
    </row>
    <row r="13" spans="1:22" x14ac:dyDescent="0.25">
      <c r="A13" s="4">
        <v>2023</v>
      </c>
      <c r="B13" s="3" t="s">
        <v>22</v>
      </c>
      <c r="C13" s="3" t="s">
        <v>23</v>
      </c>
      <c r="D13" s="3" t="s">
        <v>24</v>
      </c>
      <c r="E13" s="3" t="s">
        <v>25</v>
      </c>
      <c r="F13" s="3" t="s">
        <v>40</v>
      </c>
      <c r="G13" s="3">
        <v>112</v>
      </c>
      <c r="H13" s="3">
        <v>12</v>
      </c>
      <c r="I13" s="3">
        <v>1</v>
      </c>
      <c r="J13" s="3">
        <v>11</v>
      </c>
      <c r="K13" s="3">
        <v>3</v>
      </c>
      <c r="L13" s="2" t="s">
        <v>27</v>
      </c>
      <c r="M13" s="2" t="s">
        <v>657</v>
      </c>
      <c r="N13" s="3">
        <v>14.79</v>
      </c>
      <c r="O13" s="3">
        <v>15.3</v>
      </c>
      <c r="P13" s="3">
        <v>47.7</v>
      </c>
      <c r="Q13" s="9">
        <f t="shared" si="0"/>
        <v>14.235374999999999</v>
      </c>
      <c r="R13" s="9">
        <f t="shared" si="1"/>
        <v>1118.431407112201</v>
      </c>
      <c r="S13" s="10">
        <f t="shared" si="2"/>
        <v>997.70865933291793</v>
      </c>
      <c r="T13" s="7">
        <v>75.3</v>
      </c>
      <c r="U13" s="7">
        <v>69.7</v>
      </c>
      <c r="V13" s="4"/>
    </row>
    <row r="14" spans="1:22" x14ac:dyDescent="0.25">
      <c r="A14" s="4">
        <v>2023</v>
      </c>
      <c r="B14" s="3" t="s">
        <v>22</v>
      </c>
      <c r="C14" s="3" t="s">
        <v>23</v>
      </c>
      <c r="D14" s="3" t="s">
        <v>24</v>
      </c>
      <c r="E14" s="3" t="s">
        <v>25</v>
      </c>
      <c r="F14" s="3" t="s">
        <v>41</v>
      </c>
      <c r="G14" s="3">
        <v>113</v>
      </c>
      <c r="H14" s="3">
        <v>13</v>
      </c>
      <c r="I14" s="3">
        <v>1</v>
      </c>
      <c r="J14" s="3">
        <v>19</v>
      </c>
      <c r="K14" s="3">
        <v>3</v>
      </c>
      <c r="L14" s="2" t="s">
        <v>42</v>
      </c>
      <c r="M14" s="2" t="s">
        <v>658</v>
      </c>
      <c r="N14" s="3">
        <v>17.07</v>
      </c>
      <c r="O14" s="3">
        <v>16.8</v>
      </c>
      <c r="P14" s="3">
        <v>47.4</v>
      </c>
      <c r="Q14" s="9">
        <f t="shared" si="0"/>
        <v>16.138909090909092</v>
      </c>
      <c r="R14" s="9">
        <f t="shared" si="1"/>
        <v>1267.986463567089</v>
      </c>
      <c r="S14" s="10">
        <f t="shared" si="2"/>
        <v>1131.1208417190803</v>
      </c>
      <c r="T14" s="7">
        <v>70.3</v>
      </c>
      <c r="U14" s="7">
        <v>63.9</v>
      </c>
      <c r="V14" s="4"/>
    </row>
    <row r="15" spans="1:22" x14ac:dyDescent="0.25">
      <c r="A15" s="4">
        <v>2023</v>
      </c>
      <c r="B15" s="3" t="s">
        <v>22</v>
      </c>
      <c r="C15" s="3" t="s">
        <v>23</v>
      </c>
      <c r="D15" s="3" t="s">
        <v>24</v>
      </c>
      <c r="E15" s="3" t="s">
        <v>25</v>
      </c>
      <c r="F15" s="3" t="s">
        <v>43</v>
      </c>
      <c r="G15" s="3">
        <v>114</v>
      </c>
      <c r="H15" s="3">
        <v>14</v>
      </c>
      <c r="I15" s="3">
        <v>1</v>
      </c>
      <c r="J15" s="3">
        <v>7</v>
      </c>
      <c r="K15" s="3">
        <v>3</v>
      </c>
      <c r="L15" s="2" t="s">
        <v>42</v>
      </c>
      <c r="M15" s="2" t="s">
        <v>658</v>
      </c>
      <c r="N15" s="3">
        <v>17.059999999999999</v>
      </c>
      <c r="O15" s="3">
        <v>10.6</v>
      </c>
      <c r="P15" s="3">
        <v>49.4</v>
      </c>
      <c r="Q15" s="9">
        <f t="shared" si="0"/>
        <v>17.331409090909087</v>
      </c>
      <c r="R15" s="9">
        <f t="shared" si="1"/>
        <v>1361.677669663261</v>
      </c>
      <c r="S15" s="10">
        <f t="shared" si="2"/>
        <v>1214.6990808771284</v>
      </c>
      <c r="T15" s="7">
        <v>71.099999999999994</v>
      </c>
      <c r="U15" s="7">
        <v>52.1</v>
      </c>
      <c r="V15" s="4"/>
    </row>
    <row r="16" spans="1:22" x14ac:dyDescent="0.25">
      <c r="A16" s="4">
        <v>2023</v>
      </c>
      <c r="B16" s="3" t="s">
        <v>22</v>
      </c>
      <c r="C16" s="3" t="s">
        <v>23</v>
      </c>
      <c r="D16" s="3" t="s">
        <v>24</v>
      </c>
      <c r="E16" s="3" t="s">
        <v>25</v>
      </c>
      <c r="F16" s="3" t="s">
        <v>44</v>
      </c>
      <c r="G16" s="3">
        <v>115</v>
      </c>
      <c r="H16" s="3">
        <v>15</v>
      </c>
      <c r="I16" s="3">
        <v>1</v>
      </c>
      <c r="J16" s="3">
        <v>8</v>
      </c>
      <c r="K16" s="3">
        <v>3</v>
      </c>
      <c r="L16" s="2" t="s">
        <v>42</v>
      </c>
      <c r="M16" s="2" t="s">
        <v>657</v>
      </c>
      <c r="N16" s="3">
        <v>18.350000000000001</v>
      </c>
      <c r="O16" s="3">
        <v>10.8</v>
      </c>
      <c r="P16" s="3">
        <v>49.4</v>
      </c>
      <c r="Q16" s="9">
        <f t="shared" si="0"/>
        <v>18.600227272727274</v>
      </c>
      <c r="R16" s="9">
        <f t="shared" si="1"/>
        <v>1461.3649701004085</v>
      </c>
      <c r="S16" s="10">
        <f t="shared" si="2"/>
        <v>1303.6261999111584</v>
      </c>
      <c r="T16" s="7">
        <v>70.8</v>
      </c>
      <c r="U16" s="7">
        <v>52.5</v>
      </c>
      <c r="V16" s="4"/>
    </row>
    <row r="17" spans="1:22" x14ac:dyDescent="0.25">
      <c r="A17" s="4">
        <v>2023</v>
      </c>
      <c r="B17" s="3" t="s">
        <v>22</v>
      </c>
      <c r="C17" s="3" t="s">
        <v>23</v>
      </c>
      <c r="D17" s="3" t="s">
        <v>24</v>
      </c>
      <c r="E17" s="3" t="s">
        <v>25</v>
      </c>
      <c r="F17" s="3" t="s">
        <v>45</v>
      </c>
      <c r="G17" s="3">
        <v>116</v>
      </c>
      <c r="H17" s="3">
        <v>16</v>
      </c>
      <c r="I17" s="3">
        <v>1</v>
      </c>
      <c r="J17" s="3">
        <v>13</v>
      </c>
      <c r="K17" s="3">
        <v>4</v>
      </c>
      <c r="L17" s="2" t="s">
        <v>42</v>
      </c>
      <c r="M17" s="2" t="s">
        <v>658</v>
      </c>
      <c r="N17" s="3">
        <v>13.05</v>
      </c>
      <c r="O17" s="3">
        <v>11.2</v>
      </c>
      <c r="P17" s="3">
        <v>48.6</v>
      </c>
      <c r="Q17" s="9">
        <f t="shared" si="0"/>
        <v>13.168636363636363</v>
      </c>
      <c r="R17" s="9">
        <f t="shared" si="1"/>
        <v>1034.6209002524145</v>
      </c>
      <c r="S17" s="10">
        <f t="shared" si="2"/>
        <v>922.94460325817522</v>
      </c>
      <c r="T17" s="7">
        <v>70.2</v>
      </c>
      <c r="U17" s="7">
        <v>51.7</v>
      </c>
      <c r="V17" s="4"/>
    </row>
    <row r="18" spans="1:22" x14ac:dyDescent="0.25">
      <c r="A18" s="4">
        <v>2023</v>
      </c>
      <c r="B18" s="3" t="s">
        <v>22</v>
      </c>
      <c r="C18" s="3" t="s">
        <v>23</v>
      </c>
      <c r="D18" s="3" t="s">
        <v>24</v>
      </c>
      <c r="E18" s="3" t="s">
        <v>25</v>
      </c>
      <c r="F18" s="3" t="s">
        <v>46</v>
      </c>
      <c r="G18" s="3">
        <v>117</v>
      </c>
      <c r="H18" s="3">
        <v>17</v>
      </c>
      <c r="I18" s="3">
        <v>1</v>
      </c>
      <c r="J18" s="3">
        <v>11</v>
      </c>
      <c r="K18" s="3">
        <v>4</v>
      </c>
      <c r="L18" s="2" t="s">
        <v>42</v>
      </c>
      <c r="M18" s="2" t="s">
        <v>657</v>
      </c>
      <c r="N18" s="3">
        <v>14.71</v>
      </c>
      <c r="O18" s="3">
        <v>13.6</v>
      </c>
      <c r="P18" s="3">
        <v>48.3</v>
      </c>
      <c r="Q18" s="9">
        <f t="shared" si="0"/>
        <v>14.442545454545455</v>
      </c>
      <c r="R18" s="9">
        <f t="shared" si="1"/>
        <v>1134.7081783942606</v>
      </c>
      <c r="S18" s="10">
        <f t="shared" si="2"/>
        <v>1012.2285266674938</v>
      </c>
      <c r="T18" s="7">
        <v>75.3</v>
      </c>
      <c r="U18" s="7">
        <v>70.099999999999994</v>
      </c>
      <c r="V18" s="4"/>
    </row>
    <row r="19" spans="1:22" x14ac:dyDescent="0.25">
      <c r="A19" s="4">
        <v>2023</v>
      </c>
      <c r="B19" s="3" t="s">
        <v>22</v>
      </c>
      <c r="C19" s="3" t="s">
        <v>23</v>
      </c>
      <c r="D19" s="3" t="s">
        <v>24</v>
      </c>
      <c r="E19" s="3" t="s">
        <v>25</v>
      </c>
      <c r="F19" s="3" t="s">
        <v>47</v>
      </c>
      <c r="G19" s="3">
        <v>118</v>
      </c>
      <c r="H19" s="3">
        <v>18</v>
      </c>
      <c r="I19" s="3">
        <v>1</v>
      </c>
      <c r="J19" s="3">
        <v>19</v>
      </c>
      <c r="K19" s="3">
        <v>4</v>
      </c>
      <c r="L19" s="2" t="s">
        <v>42</v>
      </c>
      <c r="M19" s="2" t="s">
        <v>658</v>
      </c>
      <c r="N19" s="3">
        <v>16.36</v>
      </c>
      <c r="O19" s="3">
        <v>15.1</v>
      </c>
      <c r="P19" s="3">
        <v>47.7</v>
      </c>
      <c r="Q19" s="9">
        <f t="shared" si="0"/>
        <v>15.783681818181819</v>
      </c>
      <c r="R19" s="9">
        <f t="shared" si="1"/>
        <v>1240.0773049758332</v>
      </c>
      <c r="S19" s="10">
        <f t="shared" si="2"/>
        <v>1106.2241792826344</v>
      </c>
      <c r="T19" s="7">
        <v>70.099999999999994</v>
      </c>
      <c r="U19" s="7">
        <v>62.9</v>
      </c>
      <c r="V19" s="4"/>
    </row>
    <row r="20" spans="1:22" x14ac:dyDescent="0.25">
      <c r="A20" s="4">
        <v>2023</v>
      </c>
      <c r="B20" s="3" t="s">
        <v>22</v>
      </c>
      <c r="C20" s="3" t="s">
        <v>23</v>
      </c>
      <c r="D20" s="3" t="s">
        <v>24</v>
      </c>
      <c r="E20" s="3" t="s">
        <v>25</v>
      </c>
      <c r="F20" s="3" t="s">
        <v>48</v>
      </c>
      <c r="G20" s="3">
        <v>119</v>
      </c>
      <c r="H20" s="3">
        <v>19</v>
      </c>
      <c r="I20" s="3">
        <v>1</v>
      </c>
      <c r="J20" s="3">
        <v>7</v>
      </c>
      <c r="K20" s="3">
        <v>4</v>
      </c>
      <c r="L20" s="2" t="s">
        <v>42</v>
      </c>
      <c r="M20" s="2" t="s">
        <v>658</v>
      </c>
      <c r="N20" s="3">
        <v>15.52</v>
      </c>
      <c r="O20" s="3">
        <v>9.59</v>
      </c>
      <c r="P20" s="3">
        <v>49.9</v>
      </c>
      <c r="Q20" s="9">
        <f t="shared" si="0"/>
        <v>15.945036363636364</v>
      </c>
      <c r="R20" s="9">
        <f t="shared" si="1"/>
        <v>1252.7544554770795</v>
      </c>
      <c r="S20" s="10">
        <f t="shared" si="2"/>
        <v>1117.5329665272789</v>
      </c>
      <c r="T20" s="7">
        <v>70.5</v>
      </c>
      <c r="U20" s="7">
        <v>47.7</v>
      </c>
      <c r="V20" s="4"/>
    </row>
    <row r="21" spans="1:22" x14ac:dyDescent="0.25">
      <c r="A21" s="4">
        <v>2023</v>
      </c>
      <c r="B21" s="3" t="s">
        <v>22</v>
      </c>
      <c r="C21" s="3" t="s">
        <v>23</v>
      </c>
      <c r="D21" s="3" t="s">
        <v>24</v>
      </c>
      <c r="E21" s="3" t="s">
        <v>25</v>
      </c>
      <c r="F21" s="3" t="s">
        <v>49</v>
      </c>
      <c r="G21" s="3">
        <v>120</v>
      </c>
      <c r="H21" s="3">
        <v>20</v>
      </c>
      <c r="I21" s="3">
        <v>1</v>
      </c>
      <c r="J21" s="3">
        <v>8</v>
      </c>
      <c r="K21" s="3">
        <v>4</v>
      </c>
      <c r="L21" s="2" t="s">
        <v>42</v>
      </c>
      <c r="M21" s="2" t="s">
        <v>657</v>
      </c>
      <c r="N21" s="3">
        <v>17.03</v>
      </c>
      <c r="O21" s="3">
        <v>10.3</v>
      </c>
      <c r="P21" s="3">
        <v>49.6</v>
      </c>
      <c r="Q21" s="9">
        <f t="shared" si="0"/>
        <v>17.358988636363637</v>
      </c>
      <c r="R21" s="9">
        <f t="shared" si="1"/>
        <v>1363.8445131661717</v>
      </c>
      <c r="S21" s="10">
        <f t="shared" si="2"/>
        <v>1216.6320367227224</v>
      </c>
      <c r="T21" s="7">
        <v>70.2</v>
      </c>
      <c r="U21" s="7">
        <v>48.5</v>
      </c>
      <c r="V21" s="4"/>
    </row>
    <row r="22" spans="1:22" x14ac:dyDescent="0.25">
      <c r="A22" s="4">
        <v>2023</v>
      </c>
      <c r="B22" s="3" t="s">
        <v>22</v>
      </c>
      <c r="C22" s="3" t="s">
        <v>23</v>
      </c>
      <c r="D22" s="3" t="s">
        <v>24</v>
      </c>
      <c r="E22" s="3" t="s">
        <v>25</v>
      </c>
      <c r="F22" s="3" t="s">
        <v>50</v>
      </c>
      <c r="G22" s="3">
        <v>201</v>
      </c>
      <c r="H22" s="3">
        <v>1</v>
      </c>
      <c r="I22" s="3">
        <v>2</v>
      </c>
      <c r="J22" s="3">
        <v>5</v>
      </c>
      <c r="K22" s="3">
        <v>1</v>
      </c>
      <c r="L22" s="2" t="s">
        <v>42</v>
      </c>
      <c r="M22" s="2" t="s">
        <v>657</v>
      </c>
      <c r="N22" s="3">
        <v>15.33</v>
      </c>
      <c r="O22" s="3">
        <v>14.1</v>
      </c>
      <c r="P22" s="3">
        <v>47.6</v>
      </c>
      <c r="Q22" s="9">
        <f t="shared" si="0"/>
        <v>14.964170454545453</v>
      </c>
      <c r="R22" s="9">
        <f t="shared" si="1"/>
        <v>1175.6907154004791</v>
      </c>
      <c r="S22" s="10">
        <f t="shared" si="2"/>
        <v>1048.7874356828538</v>
      </c>
      <c r="T22" s="7">
        <v>71.3</v>
      </c>
      <c r="U22" s="7">
        <v>59.1</v>
      </c>
      <c r="V22" s="4"/>
    </row>
    <row r="23" spans="1:22" x14ac:dyDescent="0.25">
      <c r="A23" s="4">
        <v>2023</v>
      </c>
      <c r="B23" s="3" t="s">
        <v>22</v>
      </c>
      <c r="C23" s="3" t="s">
        <v>23</v>
      </c>
      <c r="D23" s="3" t="s">
        <v>24</v>
      </c>
      <c r="E23" s="3" t="s">
        <v>25</v>
      </c>
      <c r="F23" s="3" t="s">
        <v>51</v>
      </c>
      <c r="G23" s="3">
        <v>202</v>
      </c>
      <c r="H23" s="3">
        <v>2</v>
      </c>
      <c r="I23" s="3">
        <v>2</v>
      </c>
      <c r="J23" s="3">
        <v>2</v>
      </c>
      <c r="K23" s="3">
        <v>1</v>
      </c>
      <c r="L23" s="2" t="s">
        <v>42</v>
      </c>
      <c r="M23" s="2" t="s">
        <v>657</v>
      </c>
      <c r="N23" s="3">
        <v>18.14</v>
      </c>
      <c r="O23" s="3">
        <v>15.4</v>
      </c>
      <c r="P23" s="3">
        <v>47.4</v>
      </c>
      <c r="Q23" s="9">
        <f t="shared" si="0"/>
        <v>17.439136363636361</v>
      </c>
      <c r="R23" s="9">
        <f t="shared" si="1"/>
        <v>1370.1414835930468</v>
      </c>
      <c r="S23" s="10">
        <f t="shared" si="2"/>
        <v>1222.2493163185075</v>
      </c>
      <c r="T23" s="7">
        <v>72.5</v>
      </c>
      <c r="U23" s="7">
        <v>61.1</v>
      </c>
      <c r="V23" s="4"/>
    </row>
    <row r="24" spans="1:22" x14ac:dyDescent="0.25">
      <c r="A24" s="4">
        <v>2023</v>
      </c>
      <c r="B24" s="3" t="s">
        <v>22</v>
      </c>
      <c r="C24" s="3" t="s">
        <v>23</v>
      </c>
      <c r="D24" s="3" t="s">
        <v>24</v>
      </c>
      <c r="E24" s="3" t="s">
        <v>25</v>
      </c>
      <c r="F24" s="3" t="s">
        <v>52</v>
      </c>
      <c r="G24" s="3">
        <v>203</v>
      </c>
      <c r="H24" s="3">
        <v>3</v>
      </c>
      <c r="I24" s="3">
        <v>2</v>
      </c>
      <c r="J24" s="3">
        <v>18</v>
      </c>
      <c r="K24" s="3">
        <v>1</v>
      </c>
      <c r="L24" s="2" t="s">
        <v>42</v>
      </c>
      <c r="M24" s="2" t="s">
        <v>656</v>
      </c>
      <c r="N24" s="3">
        <v>14.55</v>
      </c>
      <c r="O24" s="3">
        <v>16.7</v>
      </c>
      <c r="P24" s="3">
        <v>47</v>
      </c>
      <c r="Q24" s="9">
        <f t="shared" si="0"/>
        <v>13.772897727272728</v>
      </c>
      <c r="R24" s="9">
        <f t="shared" si="1"/>
        <v>1082.0959325009753</v>
      </c>
      <c r="S24" s="10">
        <f t="shared" si="2"/>
        <v>965.29521186527688</v>
      </c>
      <c r="T24" s="7">
        <v>71.900000000000006</v>
      </c>
      <c r="U24" s="7">
        <v>67.5</v>
      </c>
      <c r="V24" s="4"/>
    </row>
    <row r="25" spans="1:22" x14ac:dyDescent="0.25">
      <c r="A25" s="4">
        <v>2023</v>
      </c>
      <c r="B25" s="3" t="s">
        <v>22</v>
      </c>
      <c r="C25" s="3" t="s">
        <v>23</v>
      </c>
      <c r="D25" s="3" t="s">
        <v>24</v>
      </c>
      <c r="E25" s="3" t="s">
        <v>25</v>
      </c>
      <c r="F25" s="3" t="s">
        <v>54</v>
      </c>
      <c r="G25" s="3">
        <v>204</v>
      </c>
      <c r="H25" s="3">
        <v>4</v>
      </c>
      <c r="I25" s="3">
        <v>2</v>
      </c>
      <c r="J25" s="3">
        <v>3</v>
      </c>
      <c r="K25" s="3">
        <v>1</v>
      </c>
      <c r="L25" s="2" t="s">
        <v>42</v>
      </c>
      <c r="M25" s="2" t="s">
        <v>656</v>
      </c>
      <c r="N25" s="3">
        <v>20.07</v>
      </c>
      <c r="O25" s="3">
        <v>14.5</v>
      </c>
      <c r="P25" s="3">
        <v>47.8</v>
      </c>
      <c r="Q25" s="9">
        <f t="shared" si="0"/>
        <v>19.499829545454546</v>
      </c>
      <c r="R25" s="9">
        <f t="shared" si="1"/>
        <v>1532.044066065755</v>
      </c>
      <c r="S25" s="10">
        <f t="shared" si="2"/>
        <v>1366.6762409150358</v>
      </c>
      <c r="T25" s="7">
        <v>71.5</v>
      </c>
      <c r="U25" s="7">
        <v>54.4</v>
      </c>
      <c r="V25" s="4"/>
    </row>
    <row r="26" spans="1:22" x14ac:dyDescent="0.25">
      <c r="A26" s="4">
        <v>2023</v>
      </c>
      <c r="B26" s="3" t="s">
        <v>22</v>
      </c>
      <c r="C26" s="3" t="s">
        <v>23</v>
      </c>
      <c r="D26" s="3" t="s">
        <v>24</v>
      </c>
      <c r="E26" s="3" t="s">
        <v>25</v>
      </c>
      <c r="F26" s="3" t="s">
        <v>55</v>
      </c>
      <c r="G26" s="3">
        <v>205</v>
      </c>
      <c r="H26" s="3">
        <v>5</v>
      </c>
      <c r="I26" s="3">
        <v>2</v>
      </c>
      <c r="J26" s="3">
        <v>10</v>
      </c>
      <c r="K26" s="3">
        <v>1</v>
      </c>
      <c r="L26" s="2" t="s">
        <v>56</v>
      </c>
      <c r="M26" s="2" t="s">
        <v>658</v>
      </c>
      <c r="N26" s="3">
        <v>14.38</v>
      </c>
      <c r="O26" s="3">
        <v>16.399999999999999</v>
      </c>
      <c r="P26" s="3">
        <v>47.2</v>
      </c>
      <c r="Q26" s="9">
        <f t="shared" si="0"/>
        <v>13.661000000000001</v>
      </c>
      <c r="R26" s="9">
        <f t="shared" si="1"/>
        <v>1073.3044582639923</v>
      </c>
      <c r="S26" s="10">
        <f t="shared" si="2"/>
        <v>957.45268355396274</v>
      </c>
      <c r="T26" s="7">
        <v>75.099999999999994</v>
      </c>
      <c r="U26" s="7">
        <v>69.3</v>
      </c>
      <c r="V26" s="4"/>
    </row>
    <row r="27" spans="1:22" x14ac:dyDescent="0.25">
      <c r="A27" s="4">
        <v>2023</v>
      </c>
      <c r="B27" s="3" t="s">
        <v>22</v>
      </c>
      <c r="C27" s="3" t="s">
        <v>23</v>
      </c>
      <c r="D27" s="3" t="s">
        <v>24</v>
      </c>
      <c r="E27" s="3" t="s">
        <v>25</v>
      </c>
      <c r="F27" s="3" t="s">
        <v>57</v>
      </c>
      <c r="G27" s="3">
        <v>206</v>
      </c>
      <c r="H27" s="3">
        <v>6</v>
      </c>
      <c r="I27" s="3">
        <v>2</v>
      </c>
      <c r="J27" s="3">
        <v>5</v>
      </c>
      <c r="K27" s="3">
        <v>2</v>
      </c>
      <c r="L27" s="2" t="s">
        <v>56</v>
      </c>
      <c r="M27" s="2" t="s">
        <v>657</v>
      </c>
      <c r="N27" s="3">
        <v>15.97</v>
      </c>
      <c r="O27" s="3">
        <v>14</v>
      </c>
      <c r="P27" s="3">
        <v>47.8</v>
      </c>
      <c r="Q27" s="9">
        <f t="shared" si="0"/>
        <v>15.607045454545453</v>
      </c>
      <c r="R27" s="9">
        <f t="shared" si="1"/>
        <v>1226.1995071145896</v>
      </c>
      <c r="S27" s="10">
        <f t="shared" si="2"/>
        <v>1093.8443417614537</v>
      </c>
      <c r="T27" s="7">
        <v>72.3</v>
      </c>
      <c r="U27" s="7">
        <v>65.400000000000006</v>
      </c>
      <c r="V27" s="4"/>
    </row>
    <row r="28" spans="1:22" x14ac:dyDescent="0.25">
      <c r="A28" s="4">
        <v>2023</v>
      </c>
      <c r="B28" s="3" t="s">
        <v>22</v>
      </c>
      <c r="C28" s="3" t="s">
        <v>23</v>
      </c>
      <c r="D28" s="3" t="s">
        <v>24</v>
      </c>
      <c r="E28" s="3" t="s">
        <v>25</v>
      </c>
      <c r="F28" s="3" t="s">
        <v>58</v>
      </c>
      <c r="G28" s="3">
        <v>207</v>
      </c>
      <c r="H28" s="3">
        <v>7</v>
      </c>
      <c r="I28" s="3">
        <v>2</v>
      </c>
      <c r="J28" s="3">
        <v>2</v>
      </c>
      <c r="K28" s="3">
        <v>2</v>
      </c>
      <c r="L28" s="2" t="s">
        <v>56</v>
      </c>
      <c r="M28" s="2" t="s">
        <v>657</v>
      </c>
      <c r="N28" s="3">
        <v>15.66</v>
      </c>
      <c r="O28" s="3">
        <v>14.9</v>
      </c>
      <c r="P28" s="3">
        <v>47.7</v>
      </c>
      <c r="Q28" s="9">
        <f t="shared" si="0"/>
        <v>15.143931818181819</v>
      </c>
      <c r="R28" s="9">
        <f t="shared" si="1"/>
        <v>1189.8140352902772</v>
      </c>
      <c r="S28" s="10">
        <f t="shared" si="2"/>
        <v>1061.3862937469021</v>
      </c>
      <c r="T28" s="7">
        <v>73</v>
      </c>
      <c r="U28" s="7">
        <v>64</v>
      </c>
      <c r="V28" s="4"/>
    </row>
    <row r="29" spans="1:22" x14ac:dyDescent="0.25">
      <c r="A29" s="4">
        <v>2023</v>
      </c>
      <c r="B29" s="3" t="s">
        <v>22</v>
      </c>
      <c r="C29" s="3" t="s">
        <v>23</v>
      </c>
      <c r="D29" s="3" t="s">
        <v>24</v>
      </c>
      <c r="E29" s="3" t="s">
        <v>25</v>
      </c>
      <c r="F29" s="3" t="s">
        <v>59</v>
      </c>
      <c r="G29" s="3">
        <v>208</v>
      </c>
      <c r="H29" s="3">
        <v>8</v>
      </c>
      <c r="I29" s="3">
        <v>2</v>
      </c>
      <c r="J29" s="3">
        <v>18</v>
      </c>
      <c r="K29" s="3">
        <v>2</v>
      </c>
      <c r="L29" s="2" t="s">
        <v>56</v>
      </c>
      <c r="M29" s="2" t="s">
        <v>656</v>
      </c>
      <c r="N29" s="3">
        <v>14.92</v>
      </c>
      <c r="O29" s="3">
        <v>14.2</v>
      </c>
      <c r="P29" s="3">
        <v>47.9</v>
      </c>
      <c r="Q29" s="9">
        <f t="shared" si="0"/>
        <v>14.546999999999999</v>
      </c>
      <c r="R29" s="9">
        <f t="shared" si="1"/>
        <v>1142.9148637995968</v>
      </c>
      <c r="S29" s="10">
        <f t="shared" si="2"/>
        <v>1019.5493878676153</v>
      </c>
      <c r="T29" s="7">
        <v>72.2</v>
      </c>
      <c r="U29" s="7">
        <v>67.8</v>
      </c>
      <c r="V29" s="4"/>
    </row>
    <row r="30" spans="1:22" x14ac:dyDescent="0.25">
      <c r="A30" s="4">
        <v>2023</v>
      </c>
      <c r="B30" s="3" t="s">
        <v>22</v>
      </c>
      <c r="C30" s="3" t="s">
        <v>23</v>
      </c>
      <c r="D30" s="3" t="s">
        <v>24</v>
      </c>
      <c r="E30" s="3" t="s">
        <v>25</v>
      </c>
      <c r="F30" s="3" t="s">
        <v>60</v>
      </c>
      <c r="G30" s="3">
        <v>209</v>
      </c>
      <c r="H30" s="3">
        <v>9</v>
      </c>
      <c r="I30" s="3">
        <v>2</v>
      </c>
      <c r="J30" s="3">
        <v>3</v>
      </c>
      <c r="K30" s="3">
        <v>2</v>
      </c>
      <c r="L30" s="2" t="s">
        <v>56</v>
      </c>
      <c r="M30" s="2" t="s">
        <v>656</v>
      </c>
      <c r="N30" s="3">
        <v>16.399999999999999</v>
      </c>
      <c r="O30" s="3">
        <v>15.1</v>
      </c>
      <c r="P30" s="3">
        <v>47.8</v>
      </c>
      <c r="Q30" s="9">
        <f t="shared" si="0"/>
        <v>15.822272727272725</v>
      </c>
      <c r="R30" s="9">
        <f t="shared" si="1"/>
        <v>1243.1092788266301</v>
      </c>
      <c r="S30" s="10">
        <f t="shared" si="2"/>
        <v>1108.9288838774578</v>
      </c>
      <c r="T30" s="7">
        <v>74.099999999999994</v>
      </c>
      <c r="U30" s="7">
        <v>65.400000000000006</v>
      </c>
      <c r="V30" s="4"/>
    </row>
    <row r="31" spans="1:22" x14ac:dyDescent="0.25">
      <c r="A31" s="4">
        <v>2023</v>
      </c>
      <c r="B31" s="3" t="s">
        <v>22</v>
      </c>
      <c r="C31" s="3" t="s">
        <v>23</v>
      </c>
      <c r="D31" s="3" t="s">
        <v>24</v>
      </c>
      <c r="E31" s="3" t="s">
        <v>25</v>
      </c>
      <c r="F31" s="3" t="s">
        <v>61</v>
      </c>
      <c r="G31" s="3">
        <v>210</v>
      </c>
      <c r="H31" s="3">
        <v>10</v>
      </c>
      <c r="I31" s="3">
        <v>2</v>
      </c>
      <c r="J31" s="3">
        <v>10</v>
      </c>
      <c r="K31" s="3">
        <v>2</v>
      </c>
      <c r="L31" s="2" t="s">
        <v>56</v>
      </c>
      <c r="M31" s="2" t="s">
        <v>658</v>
      </c>
      <c r="N31" s="3">
        <v>14.74</v>
      </c>
      <c r="O31" s="3">
        <v>14.2</v>
      </c>
      <c r="P31" s="3">
        <v>47.8</v>
      </c>
      <c r="Q31" s="9">
        <f t="shared" si="0"/>
        <v>14.371499999999999</v>
      </c>
      <c r="R31" s="9">
        <f t="shared" si="1"/>
        <v>1129.1263466760095</v>
      </c>
      <c r="S31" s="10">
        <f t="shared" si="2"/>
        <v>1007.2491941802047</v>
      </c>
      <c r="T31" s="7">
        <v>75</v>
      </c>
      <c r="U31" s="7">
        <v>68.7</v>
      </c>
      <c r="V31" s="4"/>
    </row>
    <row r="32" spans="1:22" x14ac:dyDescent="0.25">
      <c r="A32" s="4">
        <v>2023</v>
      </c>
      <c r="B32" s="3" t="s">
        <v>22</v>
      </c>
      <c r="C32" s="3" t="s">
        <v>23</v>
      </c>
      <c r="D32" s="3" t="s">
        <v>24</v>
      </c>
      <c r="E32" s="3" t="s">
        <v>25</v>
      </c>
      <c r="F32" s="3" t="s">
        <v>62</v>
      </c>
      <c r="G32" s="3">
        <v>211</v>
      </c>
      <c r="H32" s="3">
        <v>11</v>
      </c>
      <c r="I32" s="3">
        <v>2</v>
      </c>
      <c r="J32" s="3">
        <v>5</v>
      </c>
      <c r="K32" s="3">
        <v>3</v>
      </c>
      <c r="L32" s="2" t="s">
        <v>56</v>
      </c>
      <c r="M32" s="2" t="s">
        <v>657</v>
      </c>
      <c r="N32" s="3">
        <v>16.399999999999999</v>
      </c>
      <c r="O32" s="3">
        <v>12.6</v>
      </c>
      <c r="P32" s="3">
        <v>48.4</v>
      </c>
      <c r="Q32" s="9">
        <f t="shared" si="0"/>
        <v>16.288181818181815</v>
      </c>
      <c r="R32" s="9">
        <f t="shared" si="1"/>
        <v>1279.7143812655765</v>
      </c>
      <c r="S32" s="10">
        <f t="shared" si="2"/>
        <v>1141.5828557230834</v>
      </c>
      <c r="T32" s="7">
        <v>72.2</v>
      </c>
      <c r="U32" s="7">
        <v>64.400000000000006</v>
      </c>
      <c r="V32" s="4"/>
    </row>
    <row r="33" spans="1:22" x14ac:dyDescent="0.25">
      <c r="A33" s="4">
        <v>2023</v>
      </c>
      <c r="B33" s="3" t="s">
        <v>22</v>
      </c>
      <c r="C33" s="3" t="s">
        <v>23</v>
      </c>
      <c r="D33" s="3" t="s">
        <v>24</v>
      </c>
      <c r="E33" s="3" t="s">
        <v>25</v>
      </c>
      <c r="F33" s="3" t="s">
        <v>63</v>
      </c>
      <c r="G33" s="3">
        <v>212</v>
      </c>
      <c r="H33" s="3">
        <v>12</v>
      </c>
      <c r="I33" s="3">
        <v>2</v>
      </c>
      <c r="J33" s="3">
        <v>2</v>
      </c>
      <c r="K33" s="3">
        <v>3</v>
      </c>
      <c r="L33" s="2" t="s">
        <v>56</v>
      </c>
      <c r="M33" s="2" t="s">
        <v>657</v>
      </c>
      <c r="N33" s="3">
        <v>16.96</v>
      </c>
      <c r="O33" s="3">
        <v>12.7</v>
      </c>
      <c r="P33" s="3">
        <v>48.5</v>
      </c>
      <c r="Q33" s="9">
        <f t="shared" si="0"/>
        <v>16.82509090909091</v>
      </c>
      <c r="R33" s="9">
        <f t="shared" si="1"/>
        <v>1321.8977441932684</v>
      </c>
      <c r="S33" s="10">
        <f t="shared" si="2"/>
        <v>1179.212974302648</v>
      </c>
      <c r="T33" s="7">
        <v>72.7</v>
      </c>
      <c r="U33" s="7">
        <v>63</v>
      </c>
      <c r="V33" s="4"/>
    </row>
    <row r="34" spans="1:22" x14ac:dyDescent="0.25">
      <c r="A34" s="4">
        <v>2023</v>
      </c>
      <c r="B34" s="3" t="s">
        <v>22</v>
      </c>
      <c r="C34" s="3" t="s">
        <v>23</v>
      </c>
      <c r="D34" s="3" t="s">
        <v>24</v>
      </c>
      <c r="E34" s="3" t="s">
        <v>25</v>
      </c>
      <c r="F34" s="3" t="s">
        <v>64</v>
      </c>
      <c r="G34" s="3">
        <v>213</v>
      </c>
      <c r="H34" s="3">
        <v>13</v>
      </c>
      <c r="I34" s="3">
        <v>2</v>
      </c>
      <c r="J34" s="3">
        <v>18</v>
      </c>
      <c r="K34" s="3">
        <v>3</v>
      </c>
      <c r="L34" s="2" t="s">
        <v>56</v>
      </c>
      <c r="M34" s="2" t="s">
        <v>656</v>
      </c>
      <c r="N34" s="3">
        <v>13.51</v>
      </c>
      <c r="O34" s="3">
        <v>12.7</v>
      </c>
      <c r="P34" s="3">
        <v>48.6</v>
      </c>
      <c r="Q34" s="9">
        <f t="shared" si="0"/>
        <v>13.402534090909091</v>
      </c>
      <c r="R34" s="9">
        <f t="shared" si="1"/>
        <v>1052.9975544841423</v>
      </c>
      <c r="S34" s="10">
        <f t="shared" si="2"/>
        <v>939.33769356301718</v>
      </c>
      <c r="T34" s="7">
        <v>72.5</v>
      </c>
      <c r="U34" s="7">
        <v>68.400000000000006</v>
      </c>
      <c r="V34" s="4"/>
    </row>
    <row r="35" spans="1:22" x14ac:dyDescent="0.25">
      <c r="A35" s="4">
        <v>2023</v>
      </c>
      <c r="B35" s="3" t="s">
        <v>22</v>
      </c>
      <c r="C35" s="3" t="s">
        <v>23</v>
      </c>
      <c r="D35" s="3" t="s">
        <v>24</v>
      </c>
      <c r="E35" s="3" t="s">
        <v>25</v>
      </c>
      <c r="F35" s="3" t="s">
        <v>65</v>
      </c>
      <c r="G35" s="3">
        <v>214</v>
      </c>
      <c r="H35" s="3">
        <v>14</v>
      </c>
      <c r="I35" s="3">
        <v>2</v>
      </c>
      <c r="J35" s="3">
        <v>3</v>
      </c>
      <c r="K35" s="3">
        <v>3</v>
      </c>
      <c r="L35" s="2" t="s">
        <v>56</v>
      </c>
      <c r="M35" s="2" t="s">
        <v>656</v>
      </c>
      <c r="N35" s="3">
        <v>17.11</v>
      </c>
      <c r="O35" s="3">
        <v>12.2</v>
      </c>
      <c r="P35" s="3">
        <v>48.8</v>
      </c>
      <c r="Q35" s="9">
        <f t="shared" si="0"/>
        <v>17.071113636363634</v>
      </c>
      <c r="R35" s="9">
        <f t="shared" si="1"/>
        <v>1341.2270238957851</v>
      </c>
      <c r="S35" s="10">
        <f t="shared" si="2"/>
        <v>1196.4558643138137</v>
      </c>
      <c r="T35" s="7">
        <v>73.3</v>
      </c>
      <c r="U35" s="7">
        <v>62.6</v>
      </c>
      <c r="V35" s="4"/>
    </row>
    <row r="36" spans="1:22" x14ac:dyDescent="0.25">
      <c r="A36" s="4">
        <v>2023</v>
      </c>
      <c r="B36" s="3" t="s">
        <v>22</v>
      </c>
      <c r="C36" s="3" t="s">
        <v>23</v>
      </c>
      <c r="D36" s="3" t="s">
        <v>24</v>
      </c>
      <c r="E36" s="3" t="s">
        <v>25</v>
      </c>
      <c r="F36" s="3" t="s">
        <v>66</v>
      </c>
      <c r="G36" s="3">
        <v>215</v>
      </c>
      <c r="H36" s="3">
        <v>15</v>
      </c>
      <c r="I36" s="3">
        <v>2</v>
      </c>
      <c r="J36" s="3">
        <v>10</v>
      </c>
      <c r="K36" s="3">
        <v>3</v>
      </c>
      <c r="L36" s="2" t="s">
        <v>56</v>
      </c>
      <c r="M36" s="2" t="s">
        <v>658</v>
      </c>
      <c r="N36" s="3">
        <v>13.71</v>
      </c>
      <c r="O36" s="3">
        <v>12.6</v>
      </c>
      <c r="P36" s="3">
        <v>48.6</v>
      </c>
      <c r="Q36" s="9">
        <f t="shared" si="0"/>
        <v>13.616522727272727</v>
      </c>
      <c r="R36" s="9">
        <f t="shared" si="1"/>
        <v>1069.8100101921375</v>
      </c>
      <c r="S36" s="10">
        <f t="shared" si="2"/>
        <v>954.33542390021182</v>
      </c>
      <c r="T36" s="7">
        <v>75</v>
      </c>
      <c r="U36" s="7">
        <v>68.099999999999994</v>
      </c>
      <c r="V36" s="4"/>
    </row>
    <row r="37" spans="1:22" x14ac:dyDescent="0.25">
      <c r="A37" s="4">
        <v>2023</v>
      </c>
      <c r="B37" s="3" t="s">
        <v>22</v>
      </c>
      <c r="C37" s="3" t="s">
        <v>23</v>
      </c>
      <c r="D37" s="3" t="s">
        <v>24</v>
      </c>
      <c r="E37" s="3" t="s">
        <v>25</v>
      </c>
      <c r="F37" s="3" t="s">
        <v>67</v>
      </c>
      <c r="G37" s="3">
        <v>216</v>
      </c>
      <c r="H37" s="3">
        <v>16</v>
      </c>
      <c r="I37" s="3">
        <v>2</v>
      </c>
      <c r="J37" s="3">
        <v>5</v>
      </c>
      <c r="K37" s="3">
        <v>4</v>
      </c>
      <c r="L37" s="2" t="s">
        <v>56</v>
      </c>
      <c r="M37" s="2" t="s">
        <v>657</v>
      </c>
      <c r="N37" s="3">
        <v>15.27</v>
      </c>
      <c r="O37" s="3">
        <v>11.5</v>
      </c>
      <c r="P37" s="3">
        <v>48.7</v>
      </c>
      <c r="Q37" s="9">
        <f t="shared" si="0"/>
        <v>15.356761363636362</v>
      </c>
      <c r="R37" s="9">
        <f t="shared" si="1"/>
        <v>1206.5354246458626</v>
      </c>
      <c r="S37" s="10">
        <f t="shared" si="2"/>
        <v>1076.3027873736507</v>
      </c>
      <c r="T37" s="7">
        <v>72.2</v>
      </c>
      <c r="U37" s="7">
        <v>64.5</v>
      </c>
      <c r="V37" s="4"/>
    </row>
    <row r="38" spans="1:22" x14ac:dyDescent="0.25">
      <c r="A38" s="4">
        <v>2023</v>
      </c>
      <c r="B38" s="3" t="s">
        <v>22</v>
      </c>
      <c r="C38" s="3" t="s">
        <v>23</v>
      </c>
      <c r="D38" s="3" t="s">
        <v>24</v>
      </c>
      <c r="E38" s="3" t="s">
        <v>25</v>
      </c>
      <c r="F38" s="3" t="s">
        <v>68</v>
      </c>
      <c r="G38" s="3">
        <v>217</v>
      </c>
      <c r="H38" s="3">
        <v>17</v>
      </c>
      <c r="I38" s="3">
        <v>2</v>
      </c>
      <c r="J38" s="3">
        <v>2</v>
      </c>
      <c r="K38" s="3">
        <v>4</v>
      </c>
      <c r="L38" s="2" t="s">
        <v>69</v>
      </c>
      <c r="M38" s="2" t="s">
        <v>657</v>
      </c>
      <c r="N38" s="3">
        <v>16.489999999999998</v>
      </c>
      <c r="O38" s="3">
        <v>12.5</v>
      </c>
      <c r="P38" s="3">
        <v>48.7</v>
      </c>
      <c r="Q38" s="9">
        <f t="shared" si="0"/>
        <v>16.396306818181817</v>
      </c>
      <c r="R38" s="9">
        <f t="shared" si="1"/>
        <v>1288.2094434535418</v>
      </c>
      <c r="S38" s="10">
        <f t="shared" si="2"/>
        <v>1149.1609665062817</v>
      </c>
      <c r="T38" s="7">
        <v>73</v>
      </c>
      <c r="U38" s="7">
        <v>61.1</v>
      </c>
      <c r="V38" s="4"/>
    </row>
    <row r="39" spans="1:22" x14ac:dyDescent="0.25">
      <c r="A39" s="4">
        <v>2023</v>
      </c>
      <c r="B39" s="3" t="s">
        <v>22</v>
      </c>
      <c r="C39" s="3" t="s">
        <v>23</v>
      </c>
      <c r="D39" s="3" t="s">
        <v>24</v>
      </c>
      <c r="E39" s="3" t="s">
        <v>25</v>
      </c>
      <c r="F39" s="3" t="s">
        <v>70</v>
      </c>
      <c r="G39" s="3">
        <v>218</v>
      </c>
      <c r="H39" s="3">
        <v>18</v>
      </c>
      <c r="I39" s="3">
        <v>2</v>
      </c>
      <c r="J39" s="3">
        <v>18</v>
      </c>
      <c r="K39" s="3">
        <v>4</v>
      </c>
      <c r="L39" s="2" t="s">
        <v>69</v>
      </c>
      <c r="M39" s="2" t="s">
        <v>656</v>
      </c>
      <c r="N39" s="3">
        <v>14.15</v>
      </c>
      <c r="O39" s="3">
        <v>11.7</v>
      </c>
      <c r="P39" s="3">
        <v>49</v>
      </c>
      <c r="Q39" s="9">
        <f t="shared" si="0"/>
        <v>14.198238636363637</v>
      </c>
      <c r="R39" s="9">
        <f t="shared" si="1"/>
        <v>1115.513712605604</v>
      </c>
      <c r="S39" s="10">
        <f t="shared" si="2"/>
        <v>995.10589884532033</v>
      </c>
      <c r="T39" s="7">
        <v>72.2</v>
      </c>
      <c r="U39" s="7">
        <v>67.3</v>
      </c>
      <c r="V39" s="4"/>
    </row>
    <row r="40" spans="1:22" x14ac:dyDescent="0.25">
      <c r="A40" s="4">
        <v>2023</v>
      </c>
      <c r="B40" s="3" t="s">
        <v>22</v>
      </c>
      <c r="C40" s="3" t="s">
        <v>23</v>
      </c>
      <c r="D40" s="3" t="s">
        <v>24</v>
      </c>
      <c r="E40" s="3" t="s">
        <v>25</v>
      </c>
      <c r="F40" s="3" t="s">
        <v>71</v>
      </c>
      <c r="G40" s="3">
        <v>219</v>
      </c>
      <c r="H40" s="3">
        <v>19</v>
      </c>
      <c r="I40" s="3">
        <v>2</v>
      </c>
      <c r="J40" s="3">
        <v>3</v>
      </c>
      <c r="K40" s="3">
        <v>4</v>
      </c>
      <c r="L40" s="2" t="s">
        <v>69</v>
      </c>
      <c r="M40" s="2" t="s">
        <v>656</v>
      </c>
      <c r="N40" s="3">
        <v>17.420000000000002</v>
      </c>
      <c r="O40" s="3">
        <v>11.9</v>
      </c>
      <c r="P40" s="3">
        <v>49</v>
      </c>
      <c r="Q40" s="9">
        <f t="shared" si="0"/>
        <v>17.439795454545457</v>
      </c>
      <c r="R40" s="9">
        <f t="shared" si="1"/>
        <v>1370.1932664208878</v>
      </c>
      <c r="S40" s="10">
        <f t="shared" si="2"/>
        <v>1222.2955097420943</v>
      </c>
      <c r="T40" s="7">
        <v>73.7</v>
      </c>
      <c r="U40" s="7">
        <v>62.3</v>
      </c>
      <c r="V40" s="4"/>
    </row>
    <row r="41" spans="1:22" x14ac:dyDescent="0.25">
      <c r="A41" s="4">
        <v>2023</v>
      </c>
      <c r="B41" s="3" t="s">
        <v>22</v>
      </c>
      <c r="C41" s="3" t="s">
        <v>23</v>
      </c>
      <c r="D41" s="3" t="s">
        <v>24</v>
      </c>
      <c r="E41" s="3" t="s">
        <v>25</v>
      </c>
      <c r="F41" s="3" t="s">
        <v>72</v>
      </c>
      <c r="G41" s="3">
        <v>220</v>
      </c>
      <c r="H41" s="3">
        <v>20</v>
      </c>
      <c r="I41" s="3">
        <v>2</v>
      </c>
      <c r="J41" s="3">
        <v>10</v>
      </c>
      <c r="K41" s="3">
        <v>4</v>
      </c>
      <c r="L41" s="2" t="s">
        <v>69</v>
      </c>
      <c r="M41" s="2" t="s">
        <v>658</v>
      </c>
      <c r="N41" s="3">
        <v>12.92</v>
      </c>
      <c r="O41" s="3">
        <v>12.5</v>
      </c>
      <c r="P41" s="3">
        <v>48.6</v>
      </c>
      <c r="Q41" s="9">
        <f t="shared" si="0"/>
        <v>12.846590909090908</v>
      </c>
      <c r="R41" s="9">
        <f t="shared" si="1"/>
        <v>1009.3187392007134</v>
      </c>
      <c r="S41" s="10">
        <f t="shared" si="2"/>
        <v>900.37354076780855</v>
      </c>
      <c r="T41" s="7">
        <v>75</v>
      </c>
      <c r="U41" s="7">
        <v>69.5</v>
      </c>
      <c r="V41" s="4"/>
    </row>
    <row r="42" spans="1:22" x14ac:dyDescent="0.25">
      <c r="A42" s="4">
        <v>2023</v>
      </c>
      <c r="B42" s="3" t="s">
        <v>22</v>
      </c>
      <c r="C42" s="3" t="s">
        <v>23</v>
      </c>
      <c r="D42" s="3" t="s">
        <v>24</v>
      </c>
      <c r="E42" s="3" t="s">
        <v>25</v>
      </c>
      <c r="F42" s="3" t="s">
        <v>73</v>
      </c>
      <c r="G42" s="3">
        <v>301</v>
      </c>
      <c r="H42" s="3">
        <v>1</v>
      </c>
      <c r="I42" s="3">
        <v>3</v>
      </c>
      <c r="J42" s="3">
        <v>12</v>
      </c>
      <c r="K42" s="3">
        <v>1</v>
      </c>
      <c r="L42" s="2" t="s">
        <v>69</v>
      </c>
      <c r="M42" s="2" t="s">
        <v>656</v>
      </c>
      <c r="N42" s="3">
        <v>14.7</v>
      </c>
      <c r="O42" s="3">
        <v>17.899999999999999</v>
      </c>
      <c r="P42" s="3">
        <v>46.7</v>
      </c>
      <c r="Q42" s="9">
        <f t="shared" si="0"/>
        <v>13.714431818181815</v>
      </c>
      <c r="R42" s="9">
        <f t="shared" si="1"/>
        <v>1077.5024385485756</v>
      </c>
      <c r="S42" s="10">
        <f t="shared" si="2"/>
        <v>961.19753661781942</v>
      </c>
      <c r="T42" s="7">
        <v>74.900000000000006</v>
      </c>
      <c r="U42" s="7">
        <v>69.5</v>
      </c>
      <c r="V42" s="4"/>
    </row>
    <row r="43" spans="1:22" x14ac:dyDescent="0.25">
      <c r="A43" s="4">
        <v>2023</v>
      </c>
      <c r="B43" s="3" t="s">
        <v>22</v>
      </c>
      <c r="C43" s="3" t="s">
        <v>23</v>
      </c>
      <c r="D43" s="3" t="s">
        <v>24</v>
      </c>
      <c r="E43" s="3" t="s">
        <v>25</v>
      </c>
      <c r="F43" s="3" t="s">
        <v>74</v>
      </c>
      <c r="G43" s="3">
        <v>302</v>
      </c>
      <c r="H43" s="3">
        <v>2</v>
      </c>
      <c r="I43" s="3">
        <v>3</v>
      </c>
      <c r="J43" s="3">
        <v>4</v>
      </c>
      <c r="K43" s="3">
        <v>1</v>
      </c>
      <c r="L43" s="2" t="s">
        <v>69</v>
      </c>
      <c r="M43" s="2" t="s">
        <v>658</v>
      </c>
      <c r="N43" s="3">
        <v>14.57</v>
      </c>
      <c r="O43" s="3">
        <v>13.9</v>
      </c>
      <c r="P43" s="3">
        <v>47.6</v>
      </c>
      <c r="Q43" s="9">
        <f t="shared" si="0"/>
        <v>14.255420454545455</v>
      </c>
      <c r="R43" s="9">
        <f t="shared" si="1"/>
        <v>1120.0063193244525</v>
      </c>
      <c r="S43" s="10">
        <f t="shared" si="2"/>
        <v>999.11357656061773</v>
      </c>
      <c r="T43" s="7">
        <v>71.5</v>
      </c>
      <c r="U43" s="7">
        <v>61.8</v>
      </c>
      <c r="V43" s="4"/>
    </row>
    <row r="44" spans="1:22" x14ac:dyDescent="0.25">
      <c r="A44" s="4">
        <v>2023</v>
      </c>
      <c r="B44" s="3" t="s">
        <v>22</v>
      </c>
      <c r="C44" s="3" t="s">
        <v>23</v>
      </c>
      <c r="D44" s="3" t="s">
        <v>24</v>
      </c>
      <c r="E44" s="3" t="s">
        <v>25</v>
      </c>
      <c r="F44" s="3" t="s">
        <v>75</v>
      </c>
      <c r="G44" s="3">
        <v>303</v>
      </c>
      <c r="H44" s="3">
        <v>3</v>
      </c>
      <c r="I44" s="3">
        <v>3</v>
      </c>
      <c r="J44" s="3">
        <v>14</v>
      </c>
      <c r="K44" s="3">
        <v>1</v>
      </c>
      <c r="L44" s="2" t="s">
        <v>69</v>
      </c>
      <c r="M44" s="2" t="s">
        <v>657</v>
      </c>
      <c r="N44" s="3">
        <v>13.96</v>
      </c>
      <c r="O44" s="3">
        <v>15.6</v>
      </c>
      <c r="P44" s="3">
        <v>46.9</v>
      </c>
      <c r="Q44" s="9">
        <f t="shared" si="0"/>
        <v>13.38890909090909</v>
      </c>
      <c r="R44" s="9">
        <f t="shared" si="1"/>
        <v>1051.9270784396474</v>
      </c>
      <c r="S44" s="10">
        <f t="shared" si="2"/>
        <v>938.38276399611721</v>
      </c>
      <c r="T44" s="7">
        <v>70.7</v>
      </c>
      <c r="U44" s="7">
        <v>56.6</v>
      </c>
      <c r="V44" s="4"/>
    </row>
    <row r="45" spans="1:22" x14ac:dyDescent="0.25">
      <c r="A45" s="4">
        <v>2023</v>
      </c>
      <c r="B45" s="3" t="s">
        <v>22</v>
      </c>
      <c r="C45" s="3" t="s">
        <v>23</v>
      </c>
      <c r="D45" s="3" t="s">
        <v>24</v>
      </c>
      <c r="E45" s="3" t="s">
        <v>25</v>
      </c>
      <c r="F45" s="3" t="s">
        <v>76</v>
      </c>
      <c r="G45" s="3">
        <v>304</v>
      </c>
      <c r="H45" s="3">
        <v>4</v>
      </c>
      <c r="I45" s="3">
        <v>3</v>
      </c>
      <c r="J45" s="3">
        <v>1</v>
      </c>
      <c r="K45" s="3">
        <v>1</v>
      </c>
      <c r="L45" s="2" t="s">
        <v>69</v>
      </c>
      <c r="M45" s="2" t="s">
        <v>658</v>
      </c>
      <c r="N45" s="3">
        <v>17.670000000000002</v>
      </c>
      <c r="O45" s="3">
        <v>14.7</v>
      </c>
      <c r="P45" s="3">
        <v>47.7</v>
      </c>
      <c r="Q45" s="9">
        <f t="shared" si="0"/>
        <v>17.127852272727274</v>
      </c>
      <c r="R45" s="9">
        <f t="shared" si="1"/>
        <v>1345.6848111269476</v>
      </c>
      <c r="S45" s="10">
        <f t="shared" si="2"/>
        <v>1200.4324809339407</v>
      </c>
      <c r="T45" s="7">
        <v>72.7</v>
      </c>
      <c r="U45" s="7">
        <v>60.2</v>
      </c>
      <c r="V45" s="4"/>
    </row>
    <row r="46" spans="1:22" x14ac:dyDescent="0.25">
      <c r="A46" s="4">
        <v>2023</v>
      </c>
      <c r="B46" s="3" t="s">
        <v>22</v>
      </c>
      <c r="C46" s="3" t="s">
        <v>23</v>
      </c>
      <c r="D46" s="3" t="s">
        <v>24</v>
      </c>
      <c r="E46" s="3" t="s">
        <v>25</v>
      </c>
      <c r="F46" s="3" t="s">
        <v>77</v>
      </c>
      <c r="G46" s="3">
        <v>305</v>
      </c>
      <c r="H46" s="3">
        <v>5</v>
      </c>
      <c r="I46" s="3">
        <v>3</v>
      </c>
      <c r="J46" s="3">
        <v>17</v>
      </c>
      <c r="K46" s="3">
        <v>1</v>
      </c>
      <c r="L46" s="2" t="s">
        <v>69</v>
      </c>
      <c r="M46" s="2" t="s">
        <v>657</v>
      </c>
      <c r="N46" s="3">
        <v>14.29</v>
      </c>
      <c r="O46" s="3">
        <v>15.6</v>
      </c>
      <c r="P46" s="3">
        <v>47.4</v>
      </c>
      <c r="Q46" s="9">
        <f t="shared" si="0"/>
        <v>13.70540909090909</v>
      </c>
      <c r="R46" s="9">
        <f t="shared" si="1"/>
        <v>1076.7935494915871</v>
      </c>
      <c r="S46" s="10">
        <f t="shared" si="2"/>
        <v>960.56516457768703</v>
      </c>
      <c r="T46" s="7">
        <v>72.900000000000006</v>
      </c>
      <c r="U46" s="7">
        <v>68.8</v>
      </c>
      <c r="V46" s="4"/>
    </row>
    <row r="47" spans="1:22" x14ac:dyDescent="0.25">
      <c r="A47" s="4">
        <v>2023</v>
      </c>
      <c r="B47" s="3" t="s">
        <v>22</v>
      </c>
      <c r="C47" s="3" t="s">
        <v>23</v>
      </c>
      <c r="D47" s="3" t="s">
        <v>24</v>
      </c>
      <c r="E47" s="3" t="s">
        <v>25</v>
      </c>
      <c r="F47" s="3" t="s">
        <v>78</v>
      </c>
      <c r="G47" s="3">
        <v>306</v>
      </c>
      <c r="H47" s="3">
        <v>6</v>
      </c>
      <c r="I47" s="3">
        <v>3</v>
      </c>
      <c r="J47" s="3">
        <v>12</v>
      </c>
      <c r="K47" s="3">
        <v>2</v>
      </c>
      <c r="L47" s="2" t="s">
        <v>69</v>
      </c>
      <c r="M47" s="2" t="s">
        <v>656</v>
      </c>
      <c r="N47" s="3">
        <v>15.3</v>
      </c>
      <c r="O47" s="3">
        <v>17</v>
      </c>
      <c r="P47" s="3">
        <v>47.1</v>
      </c>
      <c r="Q47" s="9">
        <f t="shared" si="0"/>
        <v>14.430681818181817</v>
      </c>
      <c r="R47" s="9">
        <f t="shared" si="1"/>
        <v>1133.7760874931321</v>
      </c>
      <c r="S47" s="10">
        <f t="shared" si="2"/>
        <v>1011.3970450429367</v>
      </c>
      <c r="T47" s="7">
        <v>75.400000000000006</v>
      </c>
      <c r="U47" s="7">
        <v>70</v>
      </c>
      <c r="V47" s="4"/>
    </row>
    <row r="48" spans="1:22" x14ac:dyDescent="0.25">
      <c r="A48" s="4">
        <v>2023</v>
      </c>
      <c r="B48" s="3" t="s">
        <v>22</v>
      </c>
      <c r="C48" s="3" t="s">
        <v>23</v>
      </c>
      <c r="D48" s="3" t="s">
        <v>24</v>
      </c>
      <c r="E48" s="3" t="s">
        <v>25</v>
      </c>
      <c r="F48" s="3" t="s">
        <v>79</v>
      </c>
      <c r="G48" s="3">
        <v>307</v>
      </c>
      <c r="H48" s="3">
        <v>7</v>
      </c>
      <c r="I48" s="3">
        <v>3</v>
      </c>
      <c r="J48" s="3">
        <v>4</v>
      </c>
      <c r="K48" s="3">
        <v>2</v>
      </c>
      <c r="L48" s="2" t="s">
        <v>69</v>
      </c>
      <c r="M48" s="2" t="s">
        <v>658</v>
      </c>
      <c r="N48" s="3">
        <v>15.99</v>
      </c>
      <c r="O48" s="3">
        <v>14.7</v>
      </c>
      <c r="P48" s="3">
        <v>47.4</v>
      </c>
      <c r="Q48" s="9">
        <f t="shared" si="0"/>
        <v>15.499397727272726</v>
      </c>
      <c r="R48" s="9">
        <f t="shared" si="1"/>
        <v>1217.7419428364401</v>
      </c>
      <c r="S48" s="10">
        <f t="shared" si="2"/>
        <v>1086.299681388439</v>
      </c>
      <c r="T48" s="7">
        <v>72</v>
      </c>
      <c r="U48" s="7">
        <v>61.7</v>
      </c>
      <c r="V48" s="4"/>
    </row>
    <row r="49" spans="1:22" x14ac:dyDescent="0.25">
      <c r="A49" s="4">
        <v>2023</v>
      </c>
      <c r="B49" s="3" t="s">
        <v>22</v>
      </c>
      <c r="C49" s="3" t="s">
        <v>23</v>
      </c>
      <c r="D49" s="3" t="s">
        <v>24</v>
      </c>
      <c r="E49" s="3" t="s">
        <v>25</v>
      </c>
      <c r="F49" s="3" t="s">
        <v>80</v>
      </c>
      <c r="G49" s="3">
        <v>308</v>
      </c>
      <c r="H49" s="3">
        <v>8</v>
      </c>
      <c r="I49" s="3">
        <v>3</v>
      </c>
      <c r="J49" s="3">
        <v>14</v>
      </c>
      <c r="K49" s="3">
        <v>2</v>
      </c>
      <c r="L49" s="2" t="s">
        <v>69</v>
      </c>
      <c r="M49" s="2" t="s">
        <v>657</v>
      </c>
      <c r="N49" s="3">
        <v>13.52</v>
      </c>
      <c r="O49" s="3">
        <v>12.5</v>
      </c>
      <c r="P49" s="3">
        <v>48</v>
      </c>
      <c r="Q49" s="9">
        <f t="shared" si="0"/>
        <v>13.443181818181818</v>
      </c>
      <c r="R49" s="9">
        <f t="shared" si="1"/>
        <v>1056.1911264700964</v>
      </c>
      <c r="S49" s="10">
        <f t="shared" si="2"/>
        <v>942.18655349696371</v>
      </c>
      <c r="T49" s="7">
        <v>70</v>
      </c>
      <c r="U49" s="7">
        <v>53.5</v>
      </c>
      <c r="V49" s="4"/>
    </row>
    <row r="50" spans="1:22" x14ac:dyDescent="0.25">
      <c r="A50" s="4">
        <v>2023</v>
      </c>
      <c r="B50" s="3" t="s">
        <v>22</v>
      </c>
      <c r="C50" s="3" t="s">
        <v>23</v>
      </c>
      <c r="D50" s="3" t="s">
        <v>24</v>
      </c>
      <c r="E50" s="3" t="s">
        <v>25</v>
      </c>
      <c r="F50" s="3" t="s">
        <v>81</v>
      </c>
      <c r="G50" s="3">
        <v>309</v>
      </c>
      <c r="H50" s="3">
        <v>9</v>
      </c>
      <c r="I50" s="3">
        <v>3</v>
      </c>
      <c r="J50" s="3">
        <v>1</v>
      </c>
      <c r="K50" s="3">
        <v>2</v>
      </c>
      <c r="L50" s="2" t="s">
        <v>82</v>
      </c>
      <c r="M50" s="2" t="s">
        <v>658</v>
      </c>
      <c r="N50" s="3">
        <v>17.32</v>
      </c>
      <c r="O50" s="3">
        <v>14</v>
      </c>
      <c r="P50" s="3">
        <v>48</v>
      </c>
      <c r="Q50" s="9">
        <f t="shared" si="0"/>
        <v>16.926363636363636</v>
      </c>
      <c r="R50" s="9">
        <f t="shared" si="1"/>
        <v>1329.8544435331678</v>
      </c>
      <c r="S50" s="10">
        <f t="shared" si="2"/>
        <v>1186.3108327682139</v>
      </c>
      <c r="T50" s="7">
        <v>72.7</v>
      </c>
      <c r="U50" s="7">
        <v>60.3</v>
      </c>
      <c r="V50" s="4"/>
    </row>
    <row r="51" spans="1:22" x14ac:dyDescent="0.25">
      <c r="A51" s="4">
        <v>2023</v>
      </c>
      <c r="B51" s="3" t="s">
        <v>22</v>
      </c>
      <c r="C51" s="3" t="s">
        <v>23</v>
      </c>
      <c r="D51" s="3" t="s">
        <v>24</v>
      </c>
      <c r="E51" s="3" t="s">
        <v>25</v>
      </c>
      <c r="F51" s="3" t="s">
        <v>83</v>
      </c>
      <c r="G51" s="3">
        <v>310</v>
      </c>
      <c r="H51" s="3">
        <v>10</v>
      </c>
      <c r="I51" s="3">
        <v>3</v>
      </c>
      <c r="J51" s="3">
        <v>17</v>
      </c>
      <c r="K51" s="3">
        <v>2</v>
      </c>
      <c r="L51" s="2" t="s">
        <v>82</v>
      </c>
      <c r="M51" s="2" t="s">
        <v>657</v>
      </c>
      <c r="N51" s="3">
        <v>17.739999999999998</v>
      </c>
      <c r="O51" s="3">
        <v>12.3</v>
      </c>
      <c r="P51" s="3">
        <v>48.6</v>
      </c>
      <c r="Q51" s="9">
        <f t="shared" si="0"/>
        <v>17.679522727272726</v>
      </c>
      <c r="R51" s="9">
        <f t="shared" si="1"/>
        <v>1389.0279308367903</v>
      </c>
      <c r="S51" s="10">
        <f t="shared" si="2"/>
        <v>1239.0971729141752</v>
      </c>
      <c r="T51" s="7">
        <v>71.099999999999994</v>
      </c>
      <c r="U51" s="7">
        <v>53.1</v>
      </c>
      <c r="V51" s="4"/>
    </row>
    <row r="52" spans="1:22" x14ac:dyDescent="0.25">
      <c r="A52" s="4">
        <v>2023</v>
      </c>
      <c r="B52" s="3" t="s">
        <v>22</v>
      </c>
      <c r="C52" s="3" t="s">
        <v>23</v>
      </c>
      <c r="D52" s="3" t="s">
        <v>24</v>
      </c>
      <c r="E52" s="3" t="s">
        <v>25</v>
      </c>
      <c r="F52" s="3" t="s">
        <v>84</v>
      </c>
      <c r="G52" s="3">
        <v>311</v>
      </c>
      <c r="H52" s="3">
        <v>11</v>
      </c>
      <c r="I52" s="3">
        <v>3</v>
      </c>
      <c r="J52" s="3">
        <v>12</v>
      </c>
      <c r="K52" s="3">
        <v>3</v>
      </c>
      <c r="L52" s="2" t="s">
        <v>82</v>
      </c>
      <c r="M52" s="2" t="s">
        <v>656</v>
      </c>
      <c r="N52" s="3">
        <v>15.14</v>
      </c>
      <c r="O52" s="3">
        <v>14.6</v>
      </c>
      <c r="P52" s="3">
        <v>47.9</v>
      </c>
      <c r="Q52" s="9">
        <f t="shared" si="0"/>
        <v>14.692681818181818</v>
      </c>
      <c r="R52" s="9">
        <f t="shared" si="1"/>
        <v>1154.3606543670919</v>
      </c>
      <c r="S52" s="10">
        <f t="shared" si="2"/>
        <v>1029.7597273569063</v>
      </c>
      <c r="T52" s="7">
        <v>75.400000000000006</v>
      </c>
      <c r="U52" s="7">
        <v>71</v>
      </c>
      <c r="V52" s="4"/>
    </row>
    <row r="53" spans="1:22" x14ac:dyDescent="0.25">
      <c r="A53" s="4">
        <v>2023</v>
      </c>
      <c r="B53" s="3" t="s">
        <v>22</v>
      </c>
      <c r="C53" s="3" t="s">
        <v>23</v>
      </c>
      <c r="D53" s="3" t="s">
        <v>24</v>
      </c>
      <c r="E53" s="3" t="s">
        <v>25</v>
      </c>
      <c r="F53" s="3" t="s">
        <v>85</v>
      </c>
      <c r="G53" s="3">
        <v>312</v>
      </c>
      <c r="H53" s="3">
        <v>12</v>
      </c>
      <c r="I53" s="3">
        <v>3</v>
      </c>
      <c r="J53" s="3">
        <v>4</v>
      </c>
      <c r="K53" s="3">
        <v>3</v>
      </c>
      <c r="L53" s="2" t="s">
        <v>82</v>
      </c>
      <c r="M53" s="2" t="s">
        <v>658</v>
      </c>
      <c r="N53" s="3">
        <v>13.43</v>
      </c>
      <c r="O53" s="3">
        <v>11.3</v>
      </c>
      <c r="P53" s="3">
        <v>48.9</v>
      </c>
      <c r="Q53" s="9">
        <f t="shared" si="0"/>
        <v>13.536829545454545</v>
      </c>
      <c r="R53" s="9">
        <f t="shared" si="1"/>
        <v>1063.5487520603244</v>
      </c>
      <c r="S53" s="10">
        <f t="shared" si="2"/>
        <v>948.75000183793441</v>
      </c>
      <c r="T53" s="7">
        <v>72.2</v>
      </c>
      <c r="U53" s="7">
        <v>63.4</v>
      </c>
      <c r="V53" s="4"/>
    </row>
    <row r="54" spans="1:22" x14ac:dyDescent="0.25">
      <c r="A54" s="4">
        <v>2023</v>
      </c>
      <c r="B54" s="3" t="s">
        <v>22</v>
      </c>
      <c r="C54" s="3" t="s">
        <v>23</v>
      </c>
      <c r="D54" s="3" t="s">
        <v>24</v>
      </c>
      <c r="E54" s="3" t="s">
        <v>25</v>
      </c>
      <c r="F54" s="3" t="s">
        <v>86</v>
      </c>
      <c r="G54" s="3">
        <v>313</v>
      </c>
      <c r="H54" s="3">
        <v>13</v>
      </c>
      <c r="I54" s="3">
        <v>3</v>
      </c>
      <c r="J54" s="3">
        <v>14</v>
      </c>
      <c r="K54" s="3">
        <v>3</v>
      </c>
      <c r="L54" s="2" t="s">
        <v>87</v>
      </c>
      <c r="M54" s="2" t="s">
        <v>657</v>
      </c>
      <c r="N54" s="3">
        <v>13.61</v>
      </c>
      <c r="O54" s="3">
        <v>11.9</v>
      </c>
      <c r="P54" s="3">
        <v>48.5</v>
      </c>
      <c r="Q54" s="9">
        <f t="shared" si="0"/>
        <v>13.625465909090908</v>
      </c>
      <c r="R54" s="9">
        <f t="shared" si="1"/>
        <v>1070.5126495974901</v>
      </c>
      <c r="S54" s="10">
        <f t="shared" si="2"/>
        <v>954.96222087198043</v>
      </c>
      <c r="T54" s="7">
        <v>70.8</v>
      </c>
      <c r="U54" s="7">
        <v>57</v>
      </c>
      <c r="V54" s="4"/>
    </row>
    <row r="55" spans="1:22" x14ac:dyDescent="0.25">
      <c r="A55" s="4">
        <v>2023</v>
      </c>
      <c r="B55" s="3" t="s">
        <v>22</v>
      </c>
      <c r="C55" s="3" t="s">
        <v>23</v>
      </c>
      <c r="D55" s="3" t="s">
        <v>24</v>
      </c>
      <c r="E55" s="3" t="s">
        <v>25</v>
      </c>
      <c r="F55" s="3" t="s">
        <v>88</v>
      </c>
      <c r="G55" s="3">
        <v>314</v>
      </c>
      <c r="H55" s="3">
        <v>14</v>
      </c>
      <c r="I55" s="3">
        <v>3</v>
      </c>
      <c r="J55" s="3">
        <v>1</v>
      </c>
      <c r="K55" s="3">
        <v>3</v>
      </c>
      <c r="L55" s="2" t="s">
        <v>87</v>
      </c>
      <c r="M55" s="2" t="s">
        <v>658</v>
      </c>
      <c r="N55" s="3">
        <v>15.8</v>
      </c>
      <c r="O55" s="3">
        <v>11.4</v>
      </c>
      <c r="P55" s="3">
        <v>49.1</v>
      </c>
      <c r="Q55" s="9">
        <f t="shared" si="0"/>
        <v>15.907727272727273</v>
      </c>
      <c r="R55" s="9">
        <f t="shared" si="1"/>
        <v>1249.8231902983589</v>
      </c>
      <c r="S55" s="10">
        <f t="shared" si="2"/>
        <v>1114.9181001769482</v>
      </c>
      <c r="T55" s="7">
        <v>73</v>
      </c>
      <c r="U55" s="7">
        <v>60.5</v>
      </c>
      <c r="V55" s="4"/>
    </row>
    <row r="56" spans="1:22" x14ac:dyDescent="0.25">
      <c r="A56" s="4">
        <v>2023</v>
      </c>
      <c r="B56" s="3" t="s">
        <v>22</v>
      </c>
      <c r="C56" s="3" t="s">
        <v>23</v>
      </c>
      <c r="D56" s="3" t="s">
        <v>24</v>
      </c>
      <c r="E56" s="3" t="s">
        <v>25</v>
      </c>
      <c r="F56" s="3" t="s">
        <v>89</v>
      </c>
      <c r="G56" s="3">
        <v>315</v>
      </c>
      <c r="H56" s="3">
        <v>15</v>
      </c>
      <c r="I56" s="3">
        <v>3</v>
      </c>
      <c r="J56" s="3">
        <v>17</v>
      </c>
      <c r="K56" s="3">
        <v>3</v>
      </c>
      <c r="L56" s="2" t="s">
        <v>87</v>
      </c>
      <c r="M56" s="2" t="s">
        <v>657</v>
      </c>
      <c r="N56" s="3">
        <v>14.23</v>
      </c>
      <c r="O56" s="3">
        <v>12.3</v>
      </c>
      <c r="P56" s="3">
        <v>48.8</v>
      </c>
      <c r="Q56" s="9">
        <f t="shared" si="0"/>
        <v>14.181488636363637</v>
      </c>
      <c r="R56" s="9">
        <f t="shared" si="1"/>
        <v>1114.1977145325552</v>
      </c>
      <c r="S56" s="10">
        <f t="shared" si="2"/>
        <v>993.93194873555331</v>
      </c>
      <c r="T56" s="7">
        <v>72.900000000000006</v>
      </c>
      <c r="U56" s="7">
        <v>68.2</v>
      </c>
      <c r="V56" s="4"/>
    </row>
    <row r="57" spans="1:22" x14ac:dyDescent="0.25">
      <c r="A57" s="4">
        <v>2023</v>
      </c>
      <c r="B57" s="3" t="s">
        <v>22</v>
      </c>
      <c r="C57" s="3" t="s">
        <v>23</v>
      </c>
      <c r="D57" s="3" t="s">
        <v>24</v>
      </c>
      <c r="E57" s="3" t="s">
        <v>25</v>
      </c>
      <c r="F57" s="3" t="s">
        <v>90</v>
      </c>
      <c r="G57" s="3">
        <v>316</v>
      </c>
      <c r="H57" s="3">
        <v>16</v>
      </c>
      <c r="I57" s="3">
        <v>3</v>
      </c>
      <c r="J57" s="3">
        <v>12</v>
      </c>
      <c r="K57" s="3">
        <v>4</v>
      </c>
      <c r="L57" s="2" t="s">
        <v>87</v>
      </c>
      <c r="M57" s="2" t="s">
        <v>656</v>
      </c>
      <c r="N57" s="3">
        <v>14.68</v>
      </c>
      <c r="O57" s="3">
        <v>14.1</v>
      </c>
      <c r="P57" s="3">
        <v>48</v>
      </c>
      <c r="Q57" s="9">
        <f t="shared" si="0"/>
        <v>14.329681818181818</v>
      </c>
      <c r="R57" s="9">
        <f t="shared" si="1"/>
        <v>1125.8408155302695</v>
      </c>
      <c r="S57" s="10">
        <f t="shared" si="2"/>
        <v>1004.3183010974751</v>
      </c>
      <c r="T57" s="7">
        <v>75.099999999999994</v>
      </c>
      <c r="U57" s="7">
        <v>70.3</v>
      </c>
      <c r="V57" s="4"/>
    </row>
    <row r="58" spans="1:22" x14ac:dyDescent="0.25">
      <c r="A58" s="4">
        <v>2023</v>
      </c>
      <c r="B58" s="3" t="s">
        <v>22</v>
      </c>
      <c r="C58" s="3" t="s">
        <v>23</v>
      </c>
      <c r="D58" s="3" t="s">
        <v>24</v>
      </c>
      <c r="E58" s="3" t="s">
        <v>25</v>
      </c>
      <c r="F58" s="3" t="s">
        <v>91</v>
      </c>
      <c r="G58" s="3">
        <v>317</v>
      </c>
      <c r="H58" s="3">
        <v>17</v>
      </c>
      <c r="I58" s="3">
        <v>3</v>
      </c>
      <c r="J58" s="3">
        <v>4</v>
      </c>
      <c r="K58" s="3">
        <v>4</v>
      </c>
      <c r="L58" s="2" t="s">
        <v>87</v>
      </c>
      <c r="M58" s="2" t="s">
        <v>658</v>
      </c>
      <c r="N58" s="3">
        <v>12.01</v>
      </c>
      <c r="O58" s="3">
        <v>9.94</v>
      </c>
      <c r="P58" s="3">
        <v>49.6</v>
      </c>
      <c r="Q58" s="9">
        <f t="shared" si="0"/>
        <v>12.291143181818184</v>
      </c>
      <c r="R58" s="9">
        <f t="shared" si="1"/>
        <v>965.67885031890251</v>
      </c>
      <c r="S58" s="10">
        <f t="shared" si="2"/>
        <v>861.44411268412352</v>
      </c>
      <c r="T58" s="7">
        <v>71.599999999999994</v>
      </c>
      <c r="U58" s="7">
        <v>61.2</v>
      </c>
      <c r="V58" s="4"/>
    </row>
    <row r="59" spans="1:22" x14ac:dyDescent="0.25">
      <c r="A59" s="4">
        <v>2023</v>
      </c>
      <c r="B59" s="3" t="s">
        <v>22</v>
      </c>
      <c r="C59" s="3" t="s">
        <v>23</v>
      </c>
      <c r="D59" s="3" t="s">
        <v>24</v>
      </c>
      <c r="E59" s="3" t="s">
        <v>25</v>
      </c>
      <c r="F59" s="3" t="s">
        <v>92</v>
      </c>
      <c r="G59" s="3">
        <v>318</v>
      </c>
      <c r="H59" s="3">
        <v>18</v>
      </c>
      <c r="I59" s="3">
        <v>3</v>
      </c>
      <c r="J59" s="3">
        <v>14</v>
      </c>
      <c r="K59" s="3">
        <v>4</v>
      </c>
      <c r="L59" s="2" t="s">
        <v>87</v>
      </c>
      <c r="M59" s="2" t="s">
        <v>657</v>
      </c>
      <c r="N59" s="3">
        <v>12.43</v>
      </c>
      <c r="O59" s="3">
        <v>9.84</v>
      </c>
      <c r="P59" s="3">
        <v>49.3</v>
      </c>
      <c r="Q59" s="9">
        <f t="shared" si="0"/>
        <v>12.735099999999999</v>
      </c>
      <c r="R59" s="9">
        <f t="shared" si="1"/>
        <v>1000.559227467811</v>
      </c>
      <c r="S59" s="10">
        <f t="shared" si="2"/>
        <v>892.55952494898395</v>
      </c>
      <c r="T59" s="7">
        <v>70</v>
      </c>
      <c r="U59" s="7">
        <v>53.2</v>
      </c>
      <c r="V59" s="4"/>
    </row>
    <row r="60" spans="1:22" x14ac:dyDescent="0.25">
      <c r="A60" s="4">
        <v>2023</v>
      </c>
      <c r="B60" s="3" t="s">
        <v>22</v>
      </c>
      <c r="C60" s="3" t="s">
        <v>23</v>
      </c>
      <c r="D60" s="3" t="s">
        <v>24</v>
      </c>
      <c r="E60" s="3" t="s">
        <v>25</v>
      </c>
      <c r="F60" s="3" t="s">
        <v>93</v>
      </c>
      <c r="G60" s="3">
        <v>319</v>
      </c>
      <c r="H60" s="3">
        <v>19</v>
      </c>
      <c r="I60" s="3">
        <v>3</v>
      </c>
      <c r="J60" s="3">
        <v>1</v>
      </c>
      <c r="K60" s="3">
        <v>4</v>
      </c>
      <c r="L60" s="2" t="s">
        <v>87</v>
      </c>
      <c r="M60" s="2" t="s">
        <v>658</v>
      </c>
      <c r="N60" s="3">
        <v>14.78</v>
      </c>
      <c r="O60" s="3">
        <v>11.1</v>
      </c>
      <c r="P60" s="3">
        <v>49.2</v>
      </c>
      <c r="Q60" s="9">
        <f t="shared" si="0"/>
        <v>14.931159090909091</v>
      </c>
      <c r="R60" s="9">
        <f t="shared" si="1"/>
        <v>1173.0971099715732</v>
      </c>
      <c r="S60" s="10">
        <f t="shared" si="2"/>
        <v>1046.4737823118405</v>
      </c>
      <c r="T60" s="7">
        <v>72.7</v>
      </c>
      <c r="U60" s="7">
        <v>58.6</v>
      </c>
      <c r="V60" s="4"/>
    </row>
    <row r="61" spans="1:22" x14ac:dyDescent="0.25">
      <c r="A61" s="4">
        <v>2023</v>
      </c>
      <c r="B61" s="3" t="s">
        <v>22</v>
      </c>
      <c r="C61" s="3" t="s">
        <v>23</v>
      </c>
      <c r="D61" s="3" t="s">
        <v>24</v>
      </c>
      <c r="E61" s="3" t="s">
        <v>25</v>
      </c>
      <c r="F61" s="3" t="s">
        <v>94</v>
      </c>
      <c r="G61" s="3">
        <v>320</v>
      </c>
      <c r="H61" s="3">
        <v>20</v>
      </c>
      <c r="I61" s="3">
        <v>3</v>
      </c>
      <c r="J61" s="3">
        <v>17</v>
      </c>
      <c r="K61" s="3">
        <v>4</v>
      </c>
      <c r="L61" s="2" t="s">
        <v>87</v>
      </c>
      <c r="M61" s="2" t="s">
        <v>657</v>
      </c>
      <c r="N61" s="3">
        <v>13.63</v>
      </c>
      <c r="O61" s="3">
        <v>12.9</v>
      </c>
      <c r="P61" s="3">
        <v>48.5</v>
      </c>
      <c r="Q61" s="9">
        <f t="shared" si="0"/>
        <v>13.490602272727275</v>
      </c>
      <c r="R61" s="9">
        <f t="shared" si="1"/>
        <v>1059.9168116524797</v>
      </c>
      <c r="S61" s="10">
        <f t="shared" si="2"/>
        <v>945.51009068017822</v>
      </c>
      <c r="T61" s="7">
        <v>72.5</v>
      </c>
      <c r="U61" s="7">
        <v>67.5</v>
      </c>
      <c r="V61" s="4"/>
    </row>
    <row r="62" spans="1:22" x14ac:dyDescent="0.25">
      <c r="A62" s="4">
        <v>2023</v>
      </c>
      <c r="B62" s="3" t="s">
        <v>22</v>
      </c>
      <c r="C62" s="3" t="s">
        <v>23</v>
      </c>
      <c r="D62" s="3" t="s">
        <v>24</v>
      </c>
      <c r="E62" s="3" t="s">
        <v>25</v>
      </c>
      <c r="F62" s="3" t="s">
        <v>95</v>
      </c>
      <c r="G62" s="3">
        <v>401</v>
      </c>
      <c r="H62" s="3">
        <v>1</v>
      </c>
      <c r="I62" s="3">
        <v>4</v>
      </c>
      <c r="J62" s="3">
        <v>6</v>
      </c>
      <c r="K62" s="3">
        <v>1</v>
      </c>
      <c r="L62" s="2" t="s">
        <v>87</v>
      </c>
      <c r="M62" s="2" t="s">
        <v>656</v>
      </c>
      <c r="N62" s="3">
        <v>15.86</v>
      </c>
      <c r="O62" s="3">
        <v>14.9</v>
      </c>
      <c r="P62" s="3">
        <v>47.3</v>
      </c>
      <c r="Q62" s="9">
        <f t="shared" si="0"/>
        <v>15.337340909090909</v>
      </c>
      <c r="R62" s="9">
        <f t="shared" si="1"/>
        <v>1205.0096168393225</v>
      </c>
      <c r="S62" s="10">
        <f t="shared" si="2"/>
        <v>1074.941674254525</v>
      </c>
      <c r="T62" s="7">
        <v>73.099999999999994</v>
      </c>
      <c r="U62" s="7">
        <v>64.099999999999994</v>
      </c>
      <c r="V62" s="4"/>
    </row>
    <row r="63" spans="1:22" x14ac:dyDescent="0.25">
      <c r="A63" s="4">
        <v>2023</v>
      </c>
      <c r="B63" s="3" t="s">
        <v>22</v>
      </c>
      <c r="C63" s="3" t="s">
        <v>23</v>
      </c>
      <c r="D63" s="3" t="s">
        <v>24</v>
      </c>
      <c r="E63" s="3" t="s">
        <v>25</v>
      </c>
      <c r="F63" s="3" t="s">
        <v>96</v>
      </c>
      <c r="G63" s="3">
        <v>402</v>
      </c>
      <c r="H63" s="3">
        <v>2</v>
      </c>
      <c r="I63" s="3">
        <v>4</v>
      </c>
      <c r="J63" s="3">
        <v>15</v>
      </c>
      <c r="K63" s="3">
        <v>1</v>
      </c>
      <c r="L63" s="2" t="s">
        <v>87</v>
      </c>
      <c r="M63" s="2" t="s">
        <v>656</v>
      </c>
      <c r="N63" s="3">
        <v>14.36</v>
      </c>
      <c r="O63" s="3">
        <v>14.7</v>
      </c>
      <c r="P63" s="3">
        <v>47.2</v>
      </c>
      <c r="Q63" s="9">
        <f t="shared" si="0"/>
        <v>13.91940909090909</v>
      </c>
      <c r="R63" s="9">
        <f t="shared" si="1"/>
        <v>1093.6068980069592</v>
      </c>
      <c r="S63" s="10">
        <f t="shared" si="2"/>
        <v>975.56369135321961</v>
      </c>
      <c r="T63" s="7">
        <v>71</v>
      </c>
      <c r="U63" s="7">
        <v>57</v>
      </c>
      <c r="V63" s="4"/>
    </row>
    <row r="64" spans="1:22" x14ac:dyDescent="0.25">
      <c r="A64" s="4">
        <v>2023</v>
      </c>
      <c r="B64" s="3" t="s">
        <v>22</v>
      </c>
      <c r="C64" s="3" t="s">
        <v>23</v>
      </c>
      <c r="D64" s="3" t="s">
        <v>24</v>
      </c>
      <c r="E64" s="3" t="s">
        <v>25</v>
      </c>
      <c r="F64" s="3" t="s">
        <v>97</v>
      </c>
      <c r="G64" s="3">
        <v>403</v>
      </c>
      <c r="H64" s="3">
        <v>3</v>
      </c>
      <c r="I64" s="3">
        <v>4</v>
      </c>
      <c r="J64" s="3">
        <v>16</v>
      </c>
      <c r="K64" s="3">
        <v>1</v>
      </c>
      <c r="L64" s="2" t="s">
        <v>87</v>
      </c>
      <c r="M64" s="2" t="s">
        <v>658</v>
      </c>
      <c r="N64" s="3">
        <v>15.35</v>
      </c>
      <c r="O64" s="3">
        <v>17.399999999999999</v>
      </c>
      <c r="P64" s="3">
        <v>46.7</v>
      </c>
      <c r="Q64" s="9">
        <f t="shared" si="0"/>
        <v>14.408068181818182</v>
      </c>
      <c r="R64" s="9">
        <f t="shared" si="1"/>
        <v>1131.9994008137785</v>
      </c>
      <c r="S64" s="10">
        <f t="shared" si="2"/>
        <v>1009.8121327509175</v>
      </c>
      <c r="T64" s="7">
        <v>72.3</v>
      </c>
      <c r="U64" s="7">
        <v>67.599999999999994</v>
      </c>
      <c r="V64" s="4"/>
    </row>
    <row r="65" spans="1:22" x14ac:dyDescent="0.25">
      <c r="A65" s="4">
        <v>2023</v>
      </c>
      <c r="B65" s="3" t="s">
        <v>22</v>
      </c>
      <c r="C65" s="3" t="s">
        <v>23</v>
      </c>
      <c r="D65" s="3" t="s">
        <v>24</v>
      </c>
      <c r="E65" s="3" t="s">
        <v>25</v>
      </c>
      <c r="F65" s="3" t="s">
        <v>98</v>
      </c>
      <c r="G65" s="3">
        <v>404</v>
      </c>
      <c r="H65" s="3">
        <v>4</v>
      </c>
      <c r="I65" s="3">
        <v>4</v>
      </c>
      <c r="J65" s="3">
        <v>20</v>
      </c>
      <c r="K65" s="3">
        <v>1</v>
      </c>
      <c r="L65" s="2" t="s">
        <v>87</v>
      </c>
      <c r="M65" s="2" t="s">
        <v>658</v>
      </c>
      <c r="N65" s="3">
        <v>17.559999999999999</v>
      </c>
      <c r="O65" s="3">
        <v>15.2</v>
      </c>
      <c r="P65" s="3">
        <v>47.5</v>
      </c>
      <c r="Q65" s="9">
        <f t="shared" si="0"/>
        <v>16.921454545454544</v>
      </c>
      <c r="R65" s="9">
        <f t="shared" si="1"/>
        <v>1329.4687507464942</v>
      </c>
      <c r="S65" s="10">
        <f t="shared" si="2"/>
        <v>1185.9667714063285</v>
      </c>
      <c r="T65" s="7">
        <v>73.2</v>
      </c>
      <c r="U65" s="7">
        <v>63</v>
      </c>
      <c r="V65" s="4"/>
    </row>
    <row r="66" spans="1:22" x14ac:dyDescent="0.25">
      <c r="A66" s="4">
        <v>2023</v>
      </c>
      <c r="B66" s="3" t="s">
        <v>22</v>
      </c>
      <c r="C66" s="3" t="s">
        <v>23</v>
      </c>
      <c r="D66" s="3" t="s">
        <v>24</v>
      </c>
      <c r="E66" s="3" t="s">
        <v>25</v>
      </c>
      <c r="F66" s="3" t="s">
        <v>99</v>
      </c>
      <c r="G66" s="3">
        <v>405</v>
      </c>
      <c r="H66" s="3">
        <v>5</v>
      </c>
      <c r="I66" s="3">
        <v>4</v>
      </c>
      <c r="J66" s="3">
        <v>9</v>
      </c>
      <c r="K66" s="3">
        <v>1</v>
      </c>
      <c r="L66" s="2" t="s">
        <v>100</v>
      </c>
      <c r="M66" s="2" t="s">
        <v>656</v>
      </c>
      <c r="N66" s="3">
        <v>17.52</v>
      </c>
      <c r="O66" s="3">
        <v>15</v>
      </c>
      <c r="P66" s="3">
        <v>47.7</v>
      </c>
      <c r="Q66" s="9">
        <f t="shared" si="0"/>
        <v>16.922727272727272</v>
      </c>
      <c r="R66" s="9">
        <f t="shared" si="1"/>
        <v>1329.568745172669</v>
      </c>
      <c r="S66" s="10">
        <f t="shared" si="2"/>
        <v>1186.0559725001508</v>
      </c>
      <c r="T66" s="7">
        <v>71.8</v>
      </c>
      <c r="U66" s="7">
        <v>57</v>
      </c>
      <c r="V66" s="4"/>
    </row>
    <row r="67" spans="1:22" x14ac:dyDescent="0.25">
      <c r="A67" s="4">
        <v>2023</v>
      </c>
      <c r="B67" s="3" t="s">
        <v>22</v>
      </c>
      <c r="C67" s="3" t="s">
        <v>23</v>
      </c>
      <c r="D67" s="3" t="s">
        <v>24</v>
      </c>
      <c r="E67" s="3" t="s">
        <v>25</v>
      </c>
      <c r="F67" s="3" t="s">
        <v>101</v>
      </c>
      <c r="G67" s="3">
        <v>406</v>
      </c>
      <c r="H67" s="3">
        <v>6</v>
      </c>
      <c r="I67" s="3">
        <v>4</v>
      </c>
      <c r="J67" s="3">
        <v>6</v>
      </c>
      <c r="K67" s="3">
        <v>2</v>
      </c>
      <c r="L67" s="2" t="s">
        <v>100</v>
      </c>
      <c r="M67" s="2" t="s">
        <v>656</v>
      </c>
      <c r="N67" s="3">
        <v>18.91</v>
      </c>
      <c r="O67" s="3">
        <v>14.8</v>
      </c>
      <c r="P67" s="3">
        <v>47.5</v>
      </c>
      <c r="Q67" s="9">
        <f t="shared" ref="Q67:Q81" si="3">N67*(1-O67/100)/(1-0.12)</f>
        <v>18.30831818181818</v>
      </c>
      <c r="R67" s="9">
        <f t="shared" ref="R67:R81" si="4">((10000*Q67*12%/2.205))/((4.66*16)/10.764)</f>
        <v>1438.4305342113432</v>
      </c>
      <c r="S67" s="10">
        <f t="shared" ref="S67:S81" si="5">R67/1.121</f>
        <v>1283.1672918923668</v>
      </c>
      <c r="T67" s="7">
        <v>72.099999999999994</v>
      </c>
      <c r="U67" s="7">
        <v>64.2</v>
      </c>
      <c r="V67" s="4"/>
    </row>
    <row r="68" spans="1:22" x14ac:dyDescent="0.25">
      <c r="A68" s="4">
        <v>2023</v>
      </c>
      <c r="B68" s="3" t="s">
        <v>22</v>
      </c>
      <c r="C68" s="3" t="s">
        <v>23</v>
      </c>
      <c r="D68" s="3" t="s">
        <v>24</v>
      </c>
      <c r="E68" s="3" t="s">
        <v>25</v>
      </c>
      <c r="F68" s="3" t="s">
        <v>102</v>
      </c>
      <c r="G68" s="3">
        <v>407</v>
      </c>
      <c r="H68" s="3">
        <v>7</v>
      </c>
      <c r="I68" s="3">
        <v>4</v>
      </c>
      <c r="J68" s="3">
        <v>15</v>
      </c>
      <c r="K68" s="3">
        <v>2</v>
      </c>
      <c r="L68" s="2" t="s">
        <v>100</v>
      </c>
      <c r="M68" s="2" t="s">
        <v>656</v>
      </c>
      <c r="N68" s="3">
        <v>13.98</v>
      </c>
      <c r="O68" s="3">
        <v>13.6</v>
      </c>
      <c r="P68" s="3">
        <v>47.6</v>
      </c>
      <c r="Q68" s="9">
        <f t="shared" si="3"/>
        <v>13.725818181818182</v>
      </c>
      <c r="R68" s="9">
        <f t="shared" si="4"/>
        <v>1078.3970315398888</v>
      </c>
      <c r="S68" s="10">
        <f t="shared" si="5"/>
        <v>961.99556783219339</v>
      </c>
      <c r="T68" s="7">
        <v>70.3</v>
      </c>
      <c r="U68" s="7">
        <v>55</v>
      </c>
      <c r="V68" s="4"/>
    </row>
    <row r="69" spans="1:22" x14ac:dyDescent="0.25">
      <c r="A69" s="4">
        <v>2023</v>
      </c>
      <c r="B69" s="3" t="s">
        <v>22</v>
      </c>
      <c r="C69" s="3" t="s">
        <v>23</v>
      </c>
      <c r="D69" s="3" t="s">
        <v>24</v>
      </c>
      <c r="E69" s="3" t="s">
        <v>25</v>
      </c>
      <c r="F69" s="3" t="s">
        <v>103</v>
      </c>
      <c r="G69" s="3">
        <v>408</v>
      </c>
      <c r="H69" s="3">
        <v>8</v>
      </c>
      <c r="I69" s="3">
        <v>4</v>
      </c>
      <c r="J69" s="3">
        <v>16</v>
      </c>
      <c r="K69" s="3">
        <v>2</v>
      </c>
      <c r="L69" s="2" t="s">
        <v>100</v>
      </c>
      <c r="M69" s="2" t="s">
        <v>658</v>
      </c>
      <c r="N69" s="3">
        <v>14.82</v>
      </c>
      <c r="O69" s="3">
        <v>14.2</v>
      </c>
      <c r="P69" s="3">
        <v>47.9</v>
      </c>
      <c r="Q69" s="9">
        <f t="shared" si="3"/>
        <v>14.4495</v>
      </c>
      <c r="R69" s="9">
        <f t="shared" si="4"/>
        <v>1135.254576508715</v>
      </c>
      <c r="S69" s="10">
        <f t="shared" si="5"/>
        <v>1012.715946930165</v>
      </c>
      <c r="T69" s="7">
        <v>73</v>
      </c>
      <c r="U69" s="7">
        <v>68.2</v>
      </c>
      <c r="V69" s="4"/>
    </row>
    <row r="70" spans="1:22" x14ac:dyDescent="0.25">
      <c r="A70" s="4">
        <v>2023</v>
      </c>
      <c r="B70" s="3" t="s">
        <v>22</v>
      </c>
      <c r="C70" s="3" t="s">
        <v>23</v>
      </c>
      <c r="D70" s="3" t="s">
        <v>24</v>
      </c>
      <c r="E70" s="3" t="s">
        <v>25</v>
      </c>
      <c r="F70" s="3" t="s">
        <v>104</v>
      </c>
      <c r="G70" s="3">
        <v>409</v>
      </c>
      <c r="H70" s="3">
        <v>9</v>
      </c>
      <c r="I70" s="3">
        <v>4</v>
      </c>
      <c r="J70" s="3">
        <v>20</v>
      </c>
      <c r="K70" s="3">
        <v>2</v>
      </c>
      <c r="L70" s="2" t="s">
        <v>100</v>
      </c>
      <c r="M70" s="2" t="s">
        <v>658</v>
      </c>
      <c r="N70" s="3">
        <v>17.95</v>
      </c>
      <c r="O70" s="3">
        <v>16.3</v>
      </c>
      <c r="P70" s="3">
        <v>47.6</v>
      </c>
      <c r="Q70" s="9">
        <f t="shared" si="3"/>
        <v>17.072897727272725</v>
      </c>
      <c r="R70" s="9">
        <f t="shared" si="4"/>
        <v>1341.3671946539048</v>
      </c>
      <c r="S70" s="10">
        <f t="shared" si="5"/>
        <v>1196.5809051328322</v>
      </c>
      <c r="T70" s="7">
        <v>72.400000000000006</v>
      </c>
      <c r="U70" s="7">
        <v>65</v>
      </c>
      <c r="V70" s="4"/>
    </row>
    <row r="71" spans="1:22" x14ac:dyDescent="0.25">
      <c r="A71" s="4">
        <v>2023</v>
      </c>
      <c r="B71" s="3" t="s">
        <v>22</v>
      </c>
      <c r="C71" s="3" t="s">
        <v>23</v>
      </c>
      <c r="D71" s="3" t="s">
        <v>24</v>
      </c>
      <c r="E71" s="3" t="s">
        <v>25</v>
      </c>
      <c r="F71" s="3" t="s">
        <v>105</v>
      </c>
      <c r="G71" s="3">
        <v>410</v>
      </c>
      <c r="H71" s="3">
        <v>10</v>
      </c>
      <c r="I71" s="3">
        <v>4</v>
      </c>
      <c r="J71" s="3">
        <v>9</v>
      </c>
      <c r="K71" s="3">
        <v>2</v>
      </c>
      <c r="L71" s="2" t="s">
        <v>100</v>
      </c>
      <c r="M71" s="2" t="s">
        <v>656</v>
      </c>
      <c r="N71" s="3">
        <v>14.59</v>
      </c>
      <c r="O71" s="3">
        <v>13.8</v>
      </c>
      <c r="P71" s="3">
        <v>48</v>
      </c>
      <c r="Q71" s="9">
        <f t="shared" si="3"/>
        <v>14.291568181818182</v>
      </c>
      <c r="R71" s="9">
        <f t="shared" si="4"/>
        <v>1122.8463395892886</v>
      </c>
      <c r="S71" s="10">
        <f t="shared" si="5"/>
        <v>1001.6470469128355</v>
      </c>
      <c r="T71" s="7">
        <v>72.900000000000006</v>
      </c>
      <c r="U71" s="7">
        <v>69</v>
      </c>
      <c r="V71" s="4"/>
    </row>
    <row r="72" spans="1:22" x14ac:dyDescent="0.25">
      <c r="A72" s="4">
        <v>2023</v>
      </c>
      <c r="B72" s="3" t="s">
        <v>22</v>
      </c>
      <c r="C72" s="3" t="s">
        <v>23</v>
      </c>
      <c r="D72" s="3" t="s">
        <v>24</v>
      </c>
      <c r="E72" s="3" t="s">
        <v>25</v>
      </c>
      <c r="F72" s="3" t="s">
        <v>106</v>
      </c>
      <c r="G72" s="3">
        <v>411</v>
      </c>
      <c r="H72" s="3">
        <v>11</v>
      </c>
      <c r="I72" s="3">
        <v>4</v>
      </c>
      <c r="J72" s="3">
        <v>6</v>
      </c>
      <c r="K72" s="3">
        <v>3</v>
      </c>
      <c r="L72" s="2" t="s">
        <v>100</v>
      </c>
      <c r="M72" s="2" t="s">
        <v>656</v>
      </c>
      <c r="N72" s="3">
        <v>16.2</v>
      </c>
      <c r="O72" s="3">
        <v>12.4</v>
      </c>
      <c r="P72" s="3">
        <v>48.5</v>
      </c>
      <c r="Q72" s="9">
        <f t="shared" si="3"/>
        <v>16.126363636363635</v>
      </c>
      <c r="R72" s="9">
        <f t="shared" si="4"/>
        <v>1267.0008042233669</v>
      </c>
      <c r="S72" s="10">
        <f t="shared" si="5"/>
        <v>1130.2415737942613</v>
      </c>
      <c r="T72" s="7">
        <v>73</v>
      </c>
      <c r="U72" s="7">
        <v>65.3</v>
      </c>
      <c r="V72" s="4"/>
    </row>
    <row r="73" spans="1:22" x14ac:dyDescent="0.25">
      <c r="A73" s="4">
        <v>2023</v>
      </c>
      <c r="B73" s="3" t="s">
        <v>22</v>
      </c>
      <c r="C73" s="3" t="s">
        <v>23</v>
      </c>
      <c r="D73" s="3" t="s">
        <v>24</v>
      </c>
      <c r="E73" s="3" t="s">
        <v>25</v>
      </c>
      <c r="F73" s="3" t="s">
        <v>107</v>
      </c>
      <c r="G73" s="3">
        <v>412</v>
      </c>
      <c r="H73" s="3">
        <v>12</v>
      </c>
      <c r="I73" s="3">
        <v>4</v>
      </c>
      <c r="J73" s="3">
        <v>15</v>
      </c>
      <c r="K73" s="3">
        <v>3</v>
      </c>
      <c r="L73" s="2" t="s">
        <v>100</v>
      </c>
      <c r="M73" s="2" t="s">
        <v>656</v>
      </c>
      <c r="N73" s="3">
        <v>14.11</v>
      </c>
      <c r="O73" s="3">
        <v>11.7</v>
      </c>
      <c r="P73" s="3">
        <v>48.5</v>
      </c>
      <c r="Q73" s="9">
        <f t="shared" si="3"/>
        <v>14.158102272727273</v>
      </c>
      <c r="R73" s="9">
        <f t="shared" si="4"/>
        <v>1112.3603169515952</v>
      </c>
      <c r="S73" s="10">
        <f t="shared" si="5"/>
        <v>992.29287863657021</v>
      </c>
      <c r="T73" s="7">
        <v>70.8</v>
      </c>
      <c r="U73" s="7">
        <v>56.1</v>
      </c>
      <c r="V73" s="4"/>
    </row>
    <row r="74" spans="1:22" x14ac:dyDescent="0.25">
      <c r="A74" s="4">
        <v>2023</v>
      </c>
      <c r="B74" s="3" t="s">
        <v>22</v>
      </c>
      <c r="C74" s="3" t="s">
        <v>23</v>
      </c>
      <c r="D74" s="3" t="s">
        <v>24</v>
      </c>
      <c r="E74" s="3" t="s">
        <v>25</v>
      </c>
      <c r="F74" s="3" t="s">
        <v>108</v>
      </c>
      <c r="G74" s="3">
        <v>413</v>
      </c>
      <c r="H74" s="3">
        <v>13</v>
      </c>
      <c r="I74" s="3">
        <v>4</v>
      </c>
      <c r="J74" s="3">
        <v>16</v>
      </c>
      <c r="K74" s="3">
        <v>3</v>
      </c>
      <c r="L74" s="2" t="s">
        <v>100</v>
      </c>
      <c r="M74" s="2" t="s">
        <v>658</v>
      </c>
      <c r="N74" s="3">
        <v>14.1</v>
      </c>
      <c r="O74" s="3">
        <v>12.7</v>
      </c>
      <c r="P74" s="3">
        <v>48.6</v>
      </c>
      <c r="Q74" s="9">
        <f t="shared" si="3"/>
        <v>13.987840909090909</v>
      </c>
      <c r="R74" s="9">
        <f t="shared" si="4"/>
        <v>1098.9833840286014</v>
      </c>
      <c r="S74" s="10">
        <f t="shared" si="5"/>
        <v>980.35984302283805</v>
      </c>
      <c r="T74" s="7">
        <v>72.599999999999994</v>
      </c>
      <c r="U74" s="7">
        <v>68.099999999999994</v>
      </c>
      <c r="V74" s="4"/>
    </row>
    <row r="75" spans="1:22" x14ac:dyDescent="0.25">
      <c r="A75" s="4">
        <v>2023</v>
      </c>
      <c r="B75" s="3" t="s">
        <v>22</v>
      </c>
      <c r="C75" s="3" t="s">
        <v>23</v>
      </c>
      <c r="D75" s="3" t="s">
        <v>24</v>
      </c>
      <c r="E75" s="3" t="s">
        <v>25</v>
      </c>
      <c r="F75" s="3" t="s">
        <v>109</v>
      </c>
      <c r="G75" s="3">
        <v>414</v>
      </c>
      <c r="H75" s="3">
        <v>14</v>
      </c>
      <c r="I75" s="3">
        <v>4</v>
      </c>
      <c r="J75" s="3">
        <v>20</v>
      </c>
      <c r="K75" s="3">
        <v>3</v>
      </c>
      <c r="L75" s="2" t="s">
        <v>100</v>
      </c>
      <c r="M75" s="2" t="s">
        <v>658</v>
      </c>
      <c r="N75" s="3">
        <v>15.3</v>
      </c>
      <c r="O75" s="3">
        <v>13.5</v>
      </c>
      <c r="P75" s="3">
        <v>48.4</v>
      </c>
      <c r="Q75" s="9">
        <f t="shared" si="3"/>
        <v>15.039204545454545</v>
      </c>
      <c r="R75" s="9">
        <f t="shared" si="4"/>
        <v>1181.5859225079028</v>
      </c>
      <c r="S75" s="10">
        <f t="shared" si="5"/>
        <v>1054.0463180266752</v>
      </c>
      <c r="T75" s="7">
        <v>72.099999999999994</v>
      </c>
      <c r="U75" s="7">
        <v>64.3</v>
      </c>
      <c r="V75" s="4"/>
    </row>
    <row r="76" spans="1:22" x14ac:dyDescent="0.25">
      <c r="A76" s="4">
        <v>2023</v>
      </c>
      <c r="B76" s="3" t="s">
        <v>22</v>
      </c>
      <c r="C76" s="3" t="s">
        <v>23</v>
      </c>
      <c r="D76" s="3" t="s">
        <v>24</v>
      </c>
      <c r="E76" s="3" t="s">
        <v>25</v>
      </c>
      <c r="F76" s="3" t="s">
        <v>110</v>
      </c>
      <c r="G76" s="3">
        <v>415</v>
      </c>
      <c r="H76" s="3">
        <v>15</v>
      </c>
      <c r="I76" s="3">
        <v>4</v>
      </c>
      <c r="J76" s="3">
        <v>9</v>
      </c>
      <c r="K76" s="3">
        <v>3</v>
      </c>
      <c r="L76" s="2" t="s">
        <v>100</v>
      </c>
      <c r="M76" s="2" t="s">
        <v>656</v>
      </c>
      <c r="N76" s="3">
        <v>17.239999999999998</v>
      </c>
      <c r="O76" s="3">
        <v>10.9</v>
      </c>
      <c r="P76" s="3">
        <v>49.4</v>
      </c>
      <c r="Q76" s="9">
        <f t="shared" si="3"/>
        <v>17.455500000000001</v>
      </c>
      <c r="R76" s="9">
        <f t="shared" si="4"/>
        <v>1371.4271262152929</v>
      </c>
      <c r="S76" s="10">
        <f t="shared" si="5"/>
        <v>1223.396187524793</v>
      </c>
      <c r="T76" s="7">
        <v>72.099999999999994</v>
      </c>
      <c r="U76" s="7">
        <v>56.8</v>
      </c>
      <c r="V76" s="4"/>
    </row>
    <row r="77" spans="1:22" x14ac:dyDescent="0.25">
      <c r="A77" s="4">
        <v>2023</v>
      </c>
      <c r="B77" s="3" t="s">
        <v>22</v>
      </c>
      <c r="C77" s="3" t="s">
        <v>23</v>
      </c>
      <c r="D77" s="3" t="s">
        <v>24</v>
      </c>
      <c r="E77" s="3" t="s">
        <v>25</v>
      </c>
      <c r="F77" s="3" t="s">
        <v>111</v>
      </c>
      <c r="G77" s="3">
        <v>416</v>
      </c>
      <c r="H77" s="3">
        <v>16</v>
      </c>
      <c r="I77" s="3">
        <v>4</v>
      </c>
      <c r="J77" s="3">
        <v>6</v>
      </c>
      <c r="K77" s="3">
        <v>4</v>
      </c>
      <c r="L77" s="2" t="s">
        <v>100</v>
      </c>
      <c r="M77" s="2" t="s">
        <v>656</v>
      </c>
      <c r="N77" s="3">
        <v>16.420000000000002</v>
      </c>
      <c r="O77" s="3">
        <v>11.6</v>
      </c>
      <c r="P77" s="3">
        <v>48.8</v>
      </c>
      <c r="Q77" s="9">
        <f t="shared" si="3"/>
        <v>16.494636363636367</v>
      </c>
      <c r="R77" s="9">
        <f t="shared" si="4"/>
        <v>1295.9349056829133</v>
      </c>
      <c r="S77" s="10">
        <f t="shared" si="5"/>
        <v>1156.0525474423848</v>
      </c>
      <c r="T77" s="7">
        <v>72.5</v>
      </c>
      <c r="U77" s="7">
        <v>65</v>
      </c>
      <c r="V77" s="4"/>
    </row>
    <row r="78" spans="1:22" x14ac:dyDescent="0.25">
      <c r="A78" s="4">
        <v>2023</v>
      </c>
      <c r="B78" s="3" t="s">
        <v>22</v>
      </c>
      <c r="C78" s="3" t="s">
        <v>23</v>
      </c>
      <c r="D78" s="3" t="s">
        <v>24</v>
      </c>
      <c r="E78" s="3" t="s">
        <v>25</v>
      </c>
      <c r="F78" s="3" t="s">
        <v>112</v>
      </c>
      <c r="G78" s="3">
        <v>417</v>
      </c>
      <c r="H78" s="3">
        <v>17</v>
      </c>
      <c r="I78" s="3">
        <v>4</v>
      </c>
      <c r="J78" s="3">
        <v>15</v>
      </c>
      <c r="K78" s="3">
        <v>4</v>
      </c>
      <c r="L78" s="2" t="s">
        <v>113</v>
      </c>
      <c r="M78" s="2" t="s">
        <v>656</v>
      </c>
      <c r="N78" s="3">
        <v>12.73</v>
      </c>
      <c r="O78" s="3">
        <v>10.3</v>
      </c>
      <c r="P78" s="3">
        <v>49.3</v>
      </c>
      <c r="Q78" s="9">
        <f t="shared" si="3"/>
        <v>12.975920454545456</v>
      </c>
      <c r="R78" s="9">
        <f t="shared" si="4"/>
        <v>1019.4797799533391</v>
      </c>
      <c r="S78" s="10">
        <f t="shared" si="5"/>
        <v>909.43780548915174</v>
      </c>
      <c r="T78" s="7">
        <v>70.099999999999994</v>
      </c>
      <c r="U78" s="7">
        <v>52.8</v>
      </c>
      <c r="V78" s="4"/>
    </row>
    <row r="79" spans="1:22" x14ac:dyDescent="0.25">
      <c r="A79" s="4">
        <v>2023</v>
      </c>
      <c r="B79" s="3" t="s">
        <v>22</v>
      </c>
      <c r="C79" s="3" t="s">
        <v>23</v>
      </c>
      <c r="D79" s="3" t="s">
        <v>24</v>
      </c>
      <c r="E79" s="3" t="s">
        <v>25</v>
      </c>
      <c r="F79" s="3" t="s">
        <v>114</v>
      </c>
      <c r="G79" s="3">
        <v>418</v>
      </c>
      <c r="H79" s="3">
        <v>18</v>
      </c>
      <c r="I79" s="3">
        <v>4</v>
      </c>
      <c r="J79" s="3">
        <v>16</v>
      </c>
      <c r="K79" s="3">
        <v>4</v>
      </c>
      <c r="L79" s="2" t="s">
        <v>113</v>
      </c>
      <c r="M79" s="2" t="s">
        <v>658</v>
      </c>
      <c r="N79" s="3">
        <v>14.04</v>
      </c>
      <c r="O79" s="3">
        <v>11.9</v>
      </c>
      <c r="P79" s="3">
        <v>48.8</v>
      </c>
      <c r="Q79" s="9">
        <f t="shared" si="3"/>
        <v>14.055954545454545</v>
      </c>
      <c r="R79" s="9">
        <f t="shared" si="4"/>
        <v>1104.3348714437</v>
      </c>
      <c r="S79" s="10">
        <f t="shared" si="5"/>
        <v>985.1336944190009</v>
      </c>
      <c r="T79" s="7">
        <v>71.900000000000006</v>
      </c>
      <c r="U79" s="7">
        <v>66.400000000000006</v>
      </c>
      <c r="V79" s="4"/>
    </row>
    <row r="80" spans="1:22" x14ac:dyDescent="0.25">
      <c r="A80" s="4">
        <v>2023</v>
      </c>
      <c r="B80" s="3" t="s">
        <v>22</v>
      </c>
      <c r="C80" s="3" t="s">
        <v>23</v>
      </c>
      <c r="D80" s="3" t="s">
        <v>24</v>
      </c>
      <c r="E80" s="3" t="s">
        <v>25</v>
      </c>
      <c r="F80" s="3" t="s">
        <v>115</v>
      </c>
      <c r="G80" s="3">
        <v>419</v>
      </c>
      <c r="H80" s="3">
        <v>19</v>
      </c>
      <c r="I80" s="3">
        <v>4</v>
      </c>
      <c r="J80" s="3">
        <v>20</v>
      </c>
      <c r="K80" s="3">
        <v>4</v>
      </c>
      <c r="L80" s="2" t="s">
        <v>113</v>
      </c>
      <c r="M80" s="2" t="s">
        <v>658</v>
      </c>
      <c r="N80" s="3">
        <v>14.48</v>
      </c>
      <c r="O80" s="3">
        <v>13.6</v>
      </c>
      <c r="P80" s="3">
        <v>48.5</v>
      </c>
      <c r="Q80" s="9">
        <f t="shared" si="3"/>
        <v>14.216727272727274</v>
      </c>
      <c r="R80" s="9">
        <f t="shared" si="4"/>
        <v>1116.9663102072666</v>
      </c>
      <c r="S80" s="10">
        <f t="shared" si="5"/>
        <v>996.40170402075523</v>
      </c>
      <c r="T80" s="7">
        <v>72</v>
      </c>
      <c r="U80" s="7">
        <v>62.7</v>
      </c>
      <c r="V80" s="4"/>
    </row>
    <row r="81" spans="1:22" x14ac:dyDescent="0.25">
      <c r="A81" s="4">
        <v>2023</v>
      </c>
      <c r="B81" s="3" t="s">
        <v>22</v>
      </c>
      <c r="C81" s="3" t="s">
        <v>23</v>
      </c>
      <c r="D81" s="3" t="s">
        <v>24</v>
      </c>
      <c r="E81" s="3" t="s">
        <v>25</v>
      </c>
      <c r="F81" s="3" t="s">
        <v>116</v>
      </c>
      <c r="G81" s="3">
        <v>420</v>
      </c>
      <c r="H81" s="3">
        <v>20</v>
      </c>
      <c r="I81" s="3">
        <v>4</v>
      </c>
      <c r="J81" s="3">
        <v>9</v>
      </c>
      <c r="K81" s="3">
        <v>4</v>
      </c>
      <c r="L81" s="2" t="s">
        <v>113</v>
      </c>
      <c r="M81" s="2" t="s">
        <v>656</v>
      </c>
      <c r="N81" s="3">
        <v>17.59</v>
      </c>
      <c r="O81" s="3">
        <v>10.5</v>
      </c>
      <c r="P81" s="3">
        <v>49.5</v>
      </c>
      <c r="Q81" s="9">
        <f t="shared" si="3"/>
        <v>17.889829545454546</v>
      </c>
      <c r="R81" s="9">
        <f t="shared" si="4"/>
        <v>1405.5511169547804</v>
      </c>
      <c r="S81" s="10">
        <f t="shared" si="5"/>
        <v>1253.8368572299557</v>
      </c>
      <c r="T81" s="7">
        <v>71.099999999999994</v>
      </c>
      <c r="U81" s="7">
        <v>53.4</v>
      </c>
      <c r="V81" s="4"/>
    </row>
    <row r="82" spans="1:22" x14ac:dyDescent="0.25">
      <c r="A82" s="4">
        <v>2023</v>
      </c>
      <c r="B82" s="3" t="s">
        <v>117</v>
      </c>
      <c r="C82" s="3" t="s">
        <v>118</v>
      </c>
      <c r="D82" s="3" t="s">
        <v>119</v>
      </c>
      <c r="E82" s="3" t="s">
        <v>120</v>
      </c>
      <c r="F82" s="3" t="s">
        <v>121</v>
      </c>
      <c r="G82" s="3">
        <v>101</v>
      </c>
      <c r="H82" s="3">
        <v>1</v>
      </c>
      <c r="I82" s="3">
        <v>1</v>
      </c>
      <c r="J82" s="3">
        <v>1</v>
      </c>
      <c r="K82" s="3">
        <v>2</v>
      </c>
      <c r="L82" s="2" t="s">
        <v>100</v>
      </c>
      <c r="M82" s="2" t="s">
        <v>657</v>
      </c>
      <c r="N82" s="2">
        <v>13.54</v>
      </c>
      <c r="O82" s="2">
        <v>13.7</v>
      </c>
      <c r="P82" s="2">
        <v>45.6</v>
      </c>
      <c r="Q82" s="9">
        <f t="shared" ref="Q82:Q113" si="6">N82*(1-O82/100)/(1-0.12)</f>
        <v>13.278431818181819</v>
      </c>
      <c r="R82" s="7">
        <f t="shared" ref="R82:R113" si="7">((10000*Q82*12%/2.205))/((4.66*16)/10.764)</f>
        <v>1043.2472051247341</v>
      </c>
      <c r="S82" s="10">
        <f t="shared" ref="S82:S113" si="8">R82/1.121</f>
        <v>930.63979047701525</v>
      </c>
      <c r="T82" s="7">
        <v>71.2</v>
      </c>
      <c r="U82" s="7">
        <v>58.8</v>
      </c>
      <c r="V82" s="4"/>
    </row>
    <row r="83" spans="1:22" x14ac:dyDescent="0.25">
      <c r="A83" s="4">
        <v>2023</v>
      </c>
      <c r="B83" s="3" t="s">
        <v>117</v>
      </c>
      <c r="C83" s="3" t="s">
        <v>118</v>
      </c>
      <c r="D83" s="3" t="s">
        <v>119</v>
      </c>
      <c r="E83" s="3" t="s">
        <v>120</v>
      </c>
      <c r="F83" s="3" t="s">
        <v>122</v>
      </c>
      <c r="G83" s="3">
        <v>102</v>
      </c>
      <c r="H83" s="3">
        <v>2</v>
      </c>
      <c r="I83" s="3">
        <v>1</v>
      </c>
      <c r="J83" s="3">
        <v>1</v>
      </c>
      <c r="K83" s="3">
        <v>14</v>
      </c>
      <c r="L83" s="2" t="s">
        <v>87</v>
      </c>
      <c r="M83" s="2" t="s">
        <v>657</v>
      </c>
      <c r="N83" s="2">
        <v>9.81</v>
      </c>
      <c r="O83" s="2">
        <v>11.4</v>
      </c>
      <c r="P83" s="2">
        <v>40.299999999999997</v>
      </c>
      <c r="Q83" s="9">
        <f t="shared" si="6"/>
        <v>9.8768863636363644</v>
      </c>
      <c r="R83" s="7">
        <f t="shared" si="7"/>
        <v>775.99781625486719</v>
      </c>
      <c r="S83" s="10">
        <f t="shared" si="8"/>
        <v>692.23712422378878</v>
      </c>
      <c r="T83" s="7">
        <v>69.8</v>
      </c>
      <c r="U83" s="7">
        <v>60.5</v>
      </c>
      <c r="V83" s="4"/>
    </row>
    <row r="84" spans="1:22" x14ac:dyDescent="0.25">
      <c r="A84" s="4">
        <v>2023</v>
      </c>
      <c r="B84" s="3" t="s">
        <v>117</v>
      </c>
      <c r="C84" s="3" t="s">
        <v>118</v>
      </c>
      <c r="D84" s="3" t="s">
        <v>119</v>
      </c>
      <c r="E84" s="3" t="s">
        <v>120</v>
      </c>
      <c r="F84" s="3" t="s">
        <v>123</v>
      </c>
      <c r="G84" s="3">
        <v>103</v>
      </c>
      <c r="H84" s="3">
        <v>3</v>
      </c>
      <c r="I84" s="3">
        <v>1</v>
      </c>
      <c r="J84" s="3">
        <v>1</v>
      </c>
      <c r="K84" s="3">
        <v>20</v>
      </c>
      <c r="L84" s="2" t="s">
        <v>82</v>
      </c>
      <c r="M84" s="2" t="s">
        <v>658</v>
      </c>
      <c r="N84" s="2">
        <v>13.99</v>
      </c>
      <c r="O84" s="2">
        <v>15.7</v>
      </c>
      <c r="P84" s="2">
        <v>45.5</v>
      </c>
      <c r="Q84" s="9">
        <f t="shared" si="6"/>
        <v>13.401784090909089</v>
      </c>
      <c r="R84" s="7">
        <f t="shared" si="7"/>
        <v>1052.9386291972892</v>
      </c>
      <c r="S84" s="10">
        <f t="shared" si="8"/>
        <v>939.28512863272897</v>
      </c>
      <c r="T84" s="7">
        <v>72.599999999999994</v>
      </c>
      <c r="U84" s="7">
        <v>66.400000000000006</v>
      </c>
      <c r="V84" s="4"/>
    </row>
    <row r="85" spans="1:22" x14ac:dyDescent="0.25">
      <c r="A85" s="4">
        <v>2023</v>
      </c>
      <c r="B85" s="3" t="s">
        <v>117</v>
      </c>
      <c r="C85" s="3" t="s">
        <v>118</v>
      </c>
      <c r="D85" s="3" t="s">
        <v>119</v>
      </c>
      <c r="E85" s="3" t="s">
        <v>120</v>
      </c>
      <c r="F85" s="3" t="s">
        <v>124</v>
      </c>
      <c r="G85" s="3">
        <v>104</v>
      </c>
      <c r="H85" s="3">
        <v>4</v>
      </c>
      <c r="I85" s="3">
        <v>1</v>
      </c>
      <c r="J85" s="3">
        <v>1</v>
      </c>
      <c r="K85" s="3">
        <v>12</v>
      </c>
      <c r="L85" s="2" t="s">
        <v>27</v>
      </c>
      <c r="M85" s="2" t="s">
        <v>656</v>
      </c>
      <c r="N85" s="2">
        <v>12.09</v>
      </c>
      <c r="O85" s="2">
        <v>16.600000000000001</v>
      </c>
      <c r="P85" s="2">
        <v>48</v>
      </c>
      <c r="Q85" s="9">
        <f t="shared" si="6"/>
        <v>11.458022727272727</v>
      </c>
      <c r="R85" s="7">
        <f t="shared" si="7"/>
        <v>900.22303462938032</v>
      </c>
      <c r="S85" s="10">
        <f t="shared" si="8"/>
        <v>803.05355453111531</v>
      </c>
      <c r="T85" s="7">
        <v>74.3</v>
      </c>
      <c r="U85" s="7">
        <v>69</v>
      </c>
      <c r="V85" s="4"/>
    </row>
    <row r="86" spans="1:22" x14ac:dyDescent="0.25">
      <c r="A86" s="4">
        <v>2023</v>
      </c>
      <c r="B86" s="3" t="s">
        <v>117</v>
      </c>
      <c r="C86" s="3" t="s">
        <v>118</v>
      </c>
      <c r="D86" s="3" t="s">
        <v>119</v>
      </c>
      <c r="E86" s="3" t="s">
        <v>120</v>
      </c>
      <c r="F86" s="3" t="s">
        <v>125</v>
      </c>
      <c r="G86" s="3">
        <v>105</v>
      </c>
      <c r="H86" s="3">
        <v>5</v>
      </c>
      <c r="I86" s="3">
        <v>1</v>
      </c>
      <c r="J86" s="3">
        <v>2</v>
      </c>
      <c r="K86" s="3">
        <v>16</v>
      </c>
      <c r="L86" s="2" t="s">
        <v>42</v>
      </c>
      <c r="M86" s="2" t="s">
        <v>658</v>
      </c>
      <c r="N86" s="2">
        <v>10.44</v>
      </c>
      <c r="O86" s="2">
        <v>13.9</v>
      </c>
      <c r="P86" s="2">
        <v>44.4</v>
      </c>
      <c r="Q86" s="9">
        <f t="shared" si="6"/>
        <v>10.214590909090909</v>
      </c>
      <c r="R86" s="7">
        <f t="shared" si="7"/>
        <v>802.53026587146758</v>
      </c>
      <c r="S86" s="10">
        <f t="shared" si="8"/>
        <v>715.90567874350359</v>
      </c>
      <c r="T86" s="7">
        <v>71.2</v>
      </c>
      <c r="U86" s="7">
        <v>64.099999999999994</v>
      </c>
      <c r="V86" s="4"/>
    </row>
    <row r="87" spans="1:22" x14ac:dyDescent="0.25">
      <c r="A87" s="4">
        <v>2023</v>
      </c>
      <c r="B87" s="3" t="s">
        <v>117</v>
      </c>
      <c r="C87" s="3" t="s">
        <v>118</v>
      </c>
      <c r="D87" s="3" t="s">
        <v>119</v>
      </c>
      <c r="E87" s="3" t="s">
        <v>120</v>
      </c>
      <c r="F87" s="3" t="s">
        <v>126</v>
      </c>
      <c r="G87" s="3">
        <v>106</v>
      </c>
      <c r="H87" s="3">
        <v>6</v>
      </c>
      <c r="I87" s="3">
        <v>1</v>
      </c>
      <c r="J87" s="3">
        <v>2</v>
      </c>
      <c r="K87" s="3">
        <v>4</v>
      </c>
      <c r="L87" s="2" t="s">
        <v>56</v>
      </c>
      <c r="M87" s="2" t="s">
        <v>658</v>
      </c>
      <c r="N87" s="2">
        <v>9.8800000000000008</v>
      </c>
      <c r="O87" s="2">
        <v>12</v>
      </c>
      <c r="P87" s="2">
        <v>43.6</v>
      </c>
      <c r="Q87" s="9">
        <f t="shared" si="6"/>
        <v>9.879999999999999</v>
      </c>
      <c r="R87" s="7">
        <f t="shared" si="7"/>
        <v>776.24244547604428</v>
      </c>
      <c r="S87" s="10">
        <f t="shared" si="8"/>
        <v>692.45534832831788</v>
      </c>
      <c r="T87" s="7">
        <v>71.599999999999994</v>
      </c>
      <c r="U87" s="7">
        <v>61.7</v>
      </c>
      <c r="V87" s="4"/>
    </row>
    <row r="88" spans="1:22" x14ac:dyDescent="0.25">
      <c r="A88" s="4">
        <v>2023</v>
      </c>
      <c r="B88" s="3" t="s">
        <v>117</v>
      </c>
      <c r="C88" s="3" t="s">
        <v>118</v>
      </c>
      <c r="D88" s="3" t="s">
        <v>119</v>
      </c>
      <c r="E88" s="3" t="s">
        <v>120</v>
      </c>
      <c r="F88" s="3" t="s">
        <v>127</v>
      </c>
      <c r="G88" s="3">
        <v>107</v>
      </c>
      <c r="H88" s="3">
        <v>7</v>
      </c>
      <c r="I88" s="3">
        <v>1</v>
      </c>
      <c r="J88" s="3">
        <v>2</v>
      </c>
      <c r="K88" s="3">
        <v>12</v>
      </c>
      <c r="L88" s="2" t="s">
        <v>27</v>
      </c>
      <c r="M88" s="2" t="s">
        <v>656</v>
      </c>
      <c r="N88" s="2">
        <v>12.1</v>
      </c>
      <c r="O88" s="2">
        <v>17.100000000000001</v>
      </c>
      <c r="P88" s="2">
        <v>46.6</v>
      </c>
      <c r="Q88" s="9">
        <f t="shared" si="6"/>
        <v>11.39875</v>
      </c>
      <c r="R88" s="7">
        <f t="shared" si="7"/>
        <v>895.56615135324512</v>
      </c>
      <c r="S88" s="10">
        <f t="shared" si="8"/>
        <v>798.89933216168163</v>
      </c>
      <c r="T88" s="7">
        <v>74.099999999999994</v>
      </c>
      <c r="U88" s="7">
        <v>69</v>
      </c>
      <c r="V88" s="4"/>
    </row>
    <row r="89" spans="1:22" x14ac:dyDescent="0.25">
      <c r="A89" s="4">
        <v>2023</v>
      </c>
      <c r="B89" s="3" t="s">
        <v>117</v>
      </c>
      <c r="C89" s="3" t="s">
        <v>118</v>
      </c>
      <c r="D89" s="3" t="s">
        <v>119</v>
      </c>
      <c r="E89" s="3" t="s">
        <v>120</v>
      </c>
      <c r="F89" s="3" t="s">
        <v>128</v>
      </c>
      <c r="G89" s="3">
        <v>108</v>
      </c>
      <c r="H89" s="3">
        <v>8</v>
      </c>
      <c r="I89" s="3">
        <v>1</v>
      </c>
      <c r="J89" s="3">
        <v>2</v>
      </c>
      <c r="K89" s="3">
        <v>5</v>
      </c>
      <c r="L89" s="2" t="s">
        <v>56</v>
      </c>
      <c r="M89" s="2" t="s">
        <v>657</v>
      </c>
      <c r="N89" s="2">
        <v>11.12</v>
      </c>
      <c r="O89" s="2">
        <v>12.2</v>
      </c>
      <c r="P89" s="2">
        <v>44.1</v>
      </c>
      <c r="Q89" s="9">
        <f t="shared" si="6"/>
        <v>11.094727272727271</v>
      </c>
      <c r="R89" s="7">
        <f t="shared" si="7"/>
        <v>871.67998280076733</v>
      </c>
      <c r="S89" s="10">
        <f t="shared" si="8"/>
        <v>777.59142087490397</v>
      </c>
      <c r="T89" s="7">
        <v>71.5</v>
      </c>
      <c r="U89" s="7">
        <v>64</v>
      </c>
    </row>
    <row r="90" spans="1:22" x14ac:dyDescent="0.25">
      <c r="A90" s="4">
        <v>2023</v>
      </c>
      <c r="B90" s="3" t="s">
        <v>117</v>
      </c>
      <c r="C90" s="3" t="s">
        <v>118</v>
      </c>
      <c r="D90" s="3" t="s">
        <v>119</v>
      </c>
      <c r="E90" s="3" t="s">
        <v>120</v>
      </c>
      <c r="F90" s="3" t="s">
        <v>129</v>
      </c>
      <c r="G90" s="3">
        <v>109</v>
      </c>
      <c r="H90" s="3">
        <v>9</v>
      </c>
      <c r="I90" s="3">
        <v>1</v>
      </c>
      <c r="J90" s="3">
        <v>3</v>
      </c>
      <c r="K90" s="3">
        <v>2</v>
      </c>
      <c r="L90" s="2" t="s">
        <v>100</v>
      </c>
      <c r="M90" s="2" t="s">
        <v>657</v>
      </c>
      <c r="N90" s="2">
        <v>13.15</v>
      </c>
      <c r="O90" s="2">
        <v>13.6</v>
      </c>
      <c r="P90" s="2">
        <v>44.6</v>
      </c>
      <c r="Q90" s="9">
        <f t="shared" si="6"/>
        <v>12.910909090909092</v>
      </c>
      <c r="R90" s="7">
        <f t="shared" si="7"/>
        <v>1014.3720289520412</v>
      </c>
      <c r="S90" s="10">
        <f t="shared" si="8"/>
        <v>904.88138175918039</v>
      </c>
      <c r="T90" s="7">
        <v>70.8</v>
      </c>
      <c r="U90" s="7">
        <v>57.5</v>
      </c>
    </row>
    <row r="91" spans="1:22" x14ac:dyDescent="0.25">
      <c r="A91" s="4">
        <v>2023</v>
      </c>
      <c r="B91" s="3" t="s">
        <v>117</v>
      </c>
      <c r="C91" s="3" t="s">
        <v>118</v>
      </c>
      <c r="D91" s="3" t="s">
        <v>119</v>
      </c>
      <c r="E91" s="3" t="s">
        <v>120</v>
      </c>
      <c r="F91" s="3" t="s">
        <v>130</v>
      </c>
      <c r="G91" s="3">
        <v>110</v>
      </c>
      <c r="H91" s="3">
        <v>10</v>
      </c>
      <c r="I91" s="3">
        <v>1</v>
      </c>
      <c r="J91" s="3">
        <v>3</v>
      </c>
      <c r="K91" s="3">
        <v>19</v>
      </c>
      <c r="L91" s="2" t="s">
        <v>113</v>
      </c>
      <c r="M91" s="2" t="s">
        <v>658</v>
      </c>
      <c r="N91" s="2">
        <v>10.58</v>
      </c>
      <c r="O91" s="2">
        <v>15.3</v>
      </c>
      <c r="P91" s="2">
        <v>45.4</v>
      </c>
      <c r="Q91" s="9">
        <f t="shared" si="6"/>
        <v>10.183249999999999</v>
      </c>
      <c r="R91" s="7">
        <f t="shared" si="7"/>
        <v>800.06790312691578</v>
      </c>
      <c r="S91" s="10">
        <f t="shared" si="8"/>
        <v>713.70910180813178</v>
      </c>
      <c r="T91" s="7">
        <v>68.3</v>
      </c>
      <c r="U91" s="7">
        <v>61.2</v>
      </c>
    </row>
    <row r="92" spans="1:22" x14ac:dyDescent="0.25">
      <c r="A92" s="4">
        <v>2023</v>
      </c>
      <c r="B92" s="3" t="s">
        <v>117</v>
      </c>
      <c r="C92" s="3" t="s">
        <v>118</v>
      </c>
      <c r="D92" s="3" t="s">
        <v>119</v>
      </c>
      <c r="E92" s="3" t="s">
        <v>120</v>
      </c>
      <c r="F92" s="3" t="s">
        <v>131</v>
      </c>
      <c r="G92" s="3">
        <v>111</v>
      </c>
      <c r="H92" s="3">
        <v>11</v>
      </c>
      <c r="I92" s="3">
        <v>1</v>
      </c>
      <c r="J92" s="3">
        <v>3</v>
      </c>
      <c r="K92" s="3">
        <v>7</v>
      </c>
      <c r="L92" s="2" t="s">
        <v>69</v>
      </c>
      <c r="M92" s="2" t="s">
        <v>658</v>
      </c>
      <c r="N92" s="2">
        <v>12</v>
      </c>
      <c r="O92" s="2">
        <v>12.3</v>
      </c>
      <c r="P92" s="2">
        <v>44.4</v>
      </c>
      <c r="Q92" s="9">
        <f t="shared" si="6"/>
        <v>11.959090909090911</v>
      </c>
      <c r="R92" s="7">
        <f t="shared" si="7"/>
        <v>939.5904830914028</v>
      </c>
      <c r="S92" s="10">
        <f t="shared" si="8"/>
        <v>838.17170659357964</v>
      </c>
      <c r="T92" s="7">
        <v>69.5</v>
      </c>
      <c r="U92" s="7">
        <v>56.6</v>
      </c>
    </row>
    <row r="93" spans="1:22" x14ac:dyDescent="0.25">
      <c r="A93" s="4">
        <v>2023</v>
      </c>
      <c r="B93" s="3" t="s">
        <v>117</v>
      </c>
      <c r="C93" s="3" t="s">
        <v>118</v>
      </c>
      <c r="D93" s="3" t="s">
        <v>119</v>
      </c>
      <c r="E93" s="3" t="s">
        <v>120</v>
      </c>
      <c r="F93" s="3" t="s">
        <v>132</v>
      </c>
      <c r="G93" s="3">
        <v>112</v>
      </c>
      <c r="H93" s="3">
        <v>12</v>
      </c>
      <c r="I93" s="3">
        <v>1</v>
      </c>
      <c r="J93" s="3">
        <v>3</v>
      </c>
      <c r="K93" s="3">
        <v>4</v>
      </c>
      <c r="L93" s="2" t="s">
        <v>56</v>
      </c>
      <c r="M93" s="2" t="s">
        <v>658</v>
      </c>
      <c r="N93" s="2">
        <v>9.77</v>
      </c>
      <c r="O93" s="2">
        <v>11</v>
      </c>
      <c r="P93" s="2">
        <v>42.6</v>
      </c>
      <c r="Q93" s="9">
        <f t="shared" si="6"/>
        <v>9.8810227272727271</v>
      </c>
      <c r="R93" s="7">
        <f t="shared" si="7"/>
        <v>776.32279813993478</v>
      </c>
      <c r="S93" s="10">
        <f t="shared" si="8"/>
        <v>692.52702777871082</v>
      </c>
      <c r="T93" s="7">
        <v>70.7</v>
      </c>
      <c r="U93" s="7">
        <v>59.8</v>
      </c>
    </row>
    <row r="94" spans="1:22" x14ac:dyDescent="0.25">
      <c r="A94" s="4">
        <v>2023</v>
      </c>
      <c r="B94" s="3" t="s">
        <v>117</v>
      </c>
      <c r="C94" s="3" t="s">
        <v>118</v>
      </c>
      <c r="D94" s="3" t="s">
        <v>119</v>
      </c>
      <c r="E94" s="3" t="s">
        <v>120</v>
      </c>
      <c r="F94" s="3" t="s">
        <v>133</v>
      </c>
      <c r="G94" s="3">
        <v>113</v>
      </c>
      <c r="H94" s="3">
        <v>13</v>
      </c>
      <c r="I94" s="3">
        <v>1</v>
      </c>
      <c r="J94" s="3">
        <v>4</v>
      </c>
      <c r="K94" s="3">
        <v>6</v>
      </c>
      <c r="L94" s="2" t="s">
        <v>56</v>
      </c>
      <c r="M94" s="2" t="s">
        <v>656</v>
      </c>
      <c r="N94" s="2">
        <v>12.25</v>
      </c>
      <c r="O94" s="2">
        <v>12.6</v>
      </c>
      <c r="P94" s="2">
        <v>45.2</v>
      </c>
      <c r="Q94" s="9">
        <f t="shared" si="6"/>
        <v>12.166477272727272</v>
      </c>
      <c r="R94" s="7">
        <f t="shared" si="7"/>
        <v>955.88421771361664</v>
      </c>
      <c r="S94" s="10">
        <f t="shared" si="8"/>
        <v>852.70670625657147</v>
      </c>
      <c r="T94" s="7">
        <v>71.7</v>
      </c>
      <c r="U94" s="7">
        <v>64.400000000000006</v>
      </c>
    </row>
    <row r="95" spans="1:22" x14ac:dyDescent="0.25">
      <c r="A95" s="4">
        <v>2023</v>
      </c>
      <c r="B95" s="3" t="s">
        <v>117</v>
      </c>
      <c r="C95" s="3" t="s">
        <v>118</v>
      </c>
      <c r="D95" s="3" t="s">
        <v>119</v>
      </c>
      <c r="E95" s="3" t="s">
        <v>120</v>
      </c>
      <c r="F95" s="3" t="s">
        <v>134</v>
      </c>
      <c r="G95" s="3">
        <v>114</v>
      </c>
      <c r="H95" s="3">
        <v>14</v>
      </c>
      <c r="I95" s="3">
        <v>1</v>
      </c>
      <c r="J95" s="3">
        <v>4</v>
      </c>
      <c r="K95" s="3">
        <v>15</v>
      </c>
      <c r="L95" s="2" t="s">
        <v>87</v>
      </c>
      <c r="M95" s="2" t="s">
        <v>656</v>
      </c>
      <c r="N95" s="2">
        <v>10.9</v>
      </c>
      <c r="O95" s="2">
        <v>10.6</v>
      </c>
      <c r="P95" s="2">
        <v>40.6</v>
      </c>
      <c r="Q95" s="9">
        <f t="shared" si="6"/>
        <v>11.073409090909092</v>
      </c>
      <c r="R95" s="7">
        <f t="shared" si="7"/>
        <v>870.00507616234154</v>
      </c>
      <c r="S95" s="10">
        <f t="shared" si="8"/>
        <v>776.09730255338229</v>
      </c>
      <c r="T95" s="7">
        <v>70.2</v>
      </c>
      <c r="U95" s="7">
        <v>59.4</v>
      </c>
    </row>
    <row r="96" spans="1:22" x14ac:dyDescent="0.25">
      <c r="A96" s="4">
        <v>2023</v>
      </c>
      <c r="B96" s="3" t="s">
        <v>117</v>
      </c>
      <c r="C96" s="3" t="s">
        <v>118</v>
      </c>
      <c r="D96" s="3" t="s">
        <v>119</v>
      </c>
      <c r="E96" s="3" t="s">
        <v>120</v>
      </c>
      <c r="F96" s="3" t="s">
        <v>135</v>
      </c>
      <c r="G96" s="3">
        <v>115</v>
      </c>
      <c r="H96" s="3">
        <v>15</v>
      </c>
      <c r="I96" s="3">
        <v>1</v>
      </c>
      <c r="J96" s="3">
        <v>4</v>
      </c>
      <c r="K96" s="3">
        <v>4</v>
      </c>
      <c r="L96" s="2" t="s">
        <v>56</v>
      </c>
      <c r="M96" s="2" t="s">
        <v>658</v>
      </c>
      <c r="N96" s="2">
        <v>12.07</v>
      </c>
      <c r="O96" s="2">
        <v>11.9</v>
      </c>
      <c r="P96" s="2">
        <v>45.3</v>
      </c>
      <c r="Q96" s="9">
        <f t="shared" si="6"/>
        <v>12.083715909090909</v>
      </c>
      <c r="R96" s="7">
        <f t="shared" si="7"/>
        <v>949.38190159013254</v>
      </c>
      <c r="S96" s="10">
        <f t="shared" si="8"/>
        <v>846.90624584311558</v>
      </c>
      <c r="T96" s="7">
        <v>71.8</v>
      </c>
      <c r="U96" s="7">
        <v>64.3</v>
      </c>
    </row>
    <row r="97" spans="1:21" x14ac:dyDescent="0.25">
      <c r="A97" s="4">
        <v>2023</v>
      </c>
      <c r="B97" s="3" t="s">
        <v>117</v>
      </c>
      <c r="C97" s="3" t="s">
        <v>118</v>
      </c>
      <c r="D97" s="3" t="s">
        <v>119</v>
      </c>
      <c r="E97" s="3" t="s">
        <v>120</v>
      </c>
      <c r="F97" s="3" t="s">
        <v>136</v>
      </c>
      <c r="G97" s="3">
        <v>116</v>
      </c>
      <c r="H97" s="3">
        <v>16</v>
      </c>
      <c r="I97" s="3">
        <v>1</v>
      </c>
      <c r="J97" s="3">
        <v>4</v>
      </c>
      <c r="K97" s="3">
        <v>14</v>
      </c>
      <c r="L97" s="2" t="s">
        <v>87</v>
      </c>
      <c r="M97" s="2" t="s">
        <v>657</v>
      </c>
      <c r="N97" s="2">
        <v>12.11</v>
      </c>
      <c r="O97" s="2">
        <v>10.8</v>
      </c>
      <c r="P97" s="2">
        <v>40.299999999999997</v>
      </c>
      <c r="Q97" s="9">
        <f t="shared" si="6"/>
        <v>12.275136363636364</v>
      </c>
      <c r="R97" s="7">
        <f t="shared" si="7"/>
        <v>964.42124184828037</v>
      </c>
      <c r="S97" s="10">
        <f t="shared" si="8"/>
        <v>860.32224964164175</v>
      </c>
      <c r="T97" s="7">
        <v>70.400000000000006</v>
      </c>
      <c r="U97" s="7">
        <v>60.3</v>
      </c>
    </row>
    <row r="98" spans="1:21" x14ac:dyDescent="0.25">
      <c r="A98" s="4">
        <v>2023</v>
      </c>
      <c r="B98" s="3" t="s">
        <v>117</v>
      </c>
      <c r="C98" s="3" t="s">
        <v>118</v>
      </c>
      <c r="D98" s="3" t="s">
        <v>119</v>
      </c>
      <c r="E98" s="3" t="s">
        <v>120</v>
      </c>
      <c r="F98" s="3" t="s">
        <v>137</v>
      </c>
      <c r="G98" s="3">
        <v>201</v>
      </c>
      <c r="H98" s="3">
        <v>1</v>
      </c>
      <c r="I98" s="3">
        <v>2</v>
      </c>
      <c r="J98" s="3">
        <v>1</v>
      </c>
      <c r="K98" s="3">
        <v>16</v>
      </c>
      <c r="L98" s="2" t="s">
        <v>42</v>
      </c>
      <c r="M98" s="2" t="s">
        <v>658</v>
      </c>
      <c r="N98" s="2">
        <v>10.210000000000001</v>
      </c>
      <c r="O98" s="2">
        <v>14.7</v>
      </c>
      <c r="P98" s="2">
        <v>45.4</v>
      </c>
      <c r="Q98" s="9">
        <f t="shared" si="6"/>
        <v>9.8967386363636365</v>
      </c>
      <c r="R98" s="7">
        <f t="shared" si="7"/>
        <v>777.5575507417168</v>
      </c>
      <c r="S98" s="10">
        <f t="shared" si="8"/>
        <v>693.62850199974741</v>
      </c>
      <c r="T98" s="7">
        <v>71.599999999999994</v>
      </c>
      <c r="U98" s="7">
        <v>67.599999999999994</v>
      </c>
    </row>
    <row r="99" spans="1:21" x14ac:dyDescent="0.25">
      <c r="A99" s="4">
        <v>2023</v>
      </c>
      <c r="B99" s="3" t="s">
        <v>117</v>
      </c>
      <c r="C99" s="3" t="s">
        <v>118</v>
      </c>
      <c r="D99" s="3" t="s">
        <v>119</v>
      </c>
      <c r="E99" s="3" t="s">
        <v>120</v>
      </c>
      <c r="F99" s="3" t="s">
        <v>138</v>
      </c>
      <c r="G99" s="3">
        <v>202</v>
      </c>
      <c r="H99" s="3">
        <v>2</v>
      </c>
      <c r="I99" s="3">
        <v>2</v>
      </c>
      <c r="J99" s="3">
        <v>1</v>
      </c>
      <c r="K99" s="3">
        <v>3</v>
      </c>
      <c r="L99" s="2" t="s">
        <v>100</v>
      </c>
      <c r="M99" s="2" t="s">
        <v>656</v>
      </c>
      <c r="N99" s="2">
        <v>12.53</v>
      </c>
      <c r="O99" s="2">
        <v>14.5</v>
      </c>
      <c r="P99" s="2">
        <v>45</v>
      </c>
      <c r="Q99" s="9">
        <f t="shared" si="6"/>
        <v>12.174034090909089</v>
      </c>
      <c r="R99" s="7">
        <f t="shared" si="7"/>
        <v>956.47793461902882</v>
      </c>
      <c r="S99" s="10">
        <f t="shared" si="8"/>
        <v>853.23633775114081</v>
      </c>
      <c r="T99" s="7">
        <v>72.099999999999994</v>
      </c>
      <c r="U99" s="7">
        <v>59.7</v>
      </c>
    </row>
    <row r="100" spans="1:21" x14ac:dyDescent="0.25">
      <c r="A100" s="4">
        <v>2023</v>
      </c>
      <c r="B100" s="3" t="s">
        <v>117</v>
      </c>
      <c r="C100" s="3" t="s">
        <v>118</v>
      </c>
      <c r="D100" s="3" t="s">
        <v>119</v>
      </c>
      <c r="E100" s="3" t="s">
        <v>120</v>
      </c>
      <c r="F100" s="3" t="s">
        <v>139</v>
      </c>
      <c r="G100" s="3">
        <v>203</v>
      </c>
      <c r="H100" s="3">
        <v>3</v>
      </c>
      <c r="I100" s="3">
        <v>2</v>
      </c>
      <c r="J100" s="3">
        <v>1</v>
      </c>
      <c r="K100" s="3">
        <v>19</v>
      </c>
      <c r="L100" s="2" t="s">
        <v>113</v>
      </c>
      <c r="M100" s="2" t="s">
        <v>658</v>
      </c>
      <c r="N100" s="2">
        <v>9.73</v>
      </c>
      <c r="O100" s="2">
        <v>15.8</v>
      </c>
      <c r="P100" s="2">
        <v>46.1</v>
      </c>
      <c r="Q100" s="9">
        <f t="shared" si="6"/>
        <v>9.3098409090909087</v>
      </c>
      <c r="R100" s="7">
        <f t="shared" si="7"/>
        <v>731.44672816453919</v>
      </c>
      <c r="S100" s="10">
        <f t="shared" si="8"/>
        <v>652.49485117264874</v>
      </c>
      <c r="T100" s="7">
        <v>68.099999999999994</v>
      </c>
      <c r="U100" s="7">
        <v>60.2</v>
      </c>
    </row>
    <row r="101" spans="1:21" x14ac:dyDescent="0.25">
      <c r="A101" s="4">
        <v>2023</v>
      </c>
      <c r="B101" s="3" t="s">
        <v>117</v>
      </c>
      <c r="C101" s="3" t="s">
        <v>118</v>
      </c>
      <c r="D101" s="3" t="s">
        <v>119</v>
      </c>
      <c r="E101" s="3" t="s">
        <v>120</v>
      </c>
      <c r="F101" s="3" t="s">
        <v>140</v>
      </c>
      <c r="G101" s="3">
        <v>204</v>
      </c>
      <c r="H101" s="3">
        <v>4</v>
      </c>
      <c r="I101" s="3">
        <v>2</v>
      </c>
      <c r="J101" s="3">
        <v>1</v>
      </c>
      <c r="K101" s="3">
        <v>6</v>
      </c>
      <c r="L101" s="2" t="s">
        <v>56</v>
      </c>
      <c r="M101" s="2" t="s">
        <v>656</v>
      </c>
      <c r="N101" s="2">
        <v>11.14</v>
      </c>
      <c r="O101" s="2">
        <v>13.1</v>
      </c>
      <c r="P101" s="2">
        <v>46.6</v>
      </c>
      <c r="Q101" s="9">
        <f t="shared" si="6"/>
        <v>11.00075</v>
      </c>
      <c r="R101" s="7">
        <f t="shared" si="7"/>
        <v>864.29646579661892</v>
      </c>
      <c r="S101" s="10">
        <f t="shared" si="8"/>
        <v>771.00487582213998</v>
      </c>
      <c r="T101" s="7">
        <v>71.400000000000006</v>
      </c>
      <c r="U101" s="7">
        <v>63.7</v>
      </c>
    </row>
    <row r="102" spans="1:21" x14ac:dyDescent="0.25">
      <c r="A102" s="4">
        <v>2023</v>
      </c>
      <c r="B102" s="3" t="s">
        <v>117</v>
      </c>
      <c r="C102" s="3" t="s">
        <v>118</v>
      </c>
      <c r="D102" s="3" t="s">
        <v>119</v>
      </c>
      <c r="E102" s="3" t="s">
        <v>120</v>
      </c>
      <c r="F102" s="3" t="s">
        <v>141</v>
      </c>
      <c r="G102" s="3">
        <v>205</v>
      </c>
      <c r="H102" s="3">
        <v>5</v>
      </c>
      <c r="I102" s="3">
        <v>2</v>
      </c>
      <c r="J102" s="3">
        <v>2</v>
      </c>
      <c r="K102" s="3">
        <v>3</v>
      </c>
      <c r="L102" s="2" t="s">
        <v>100</v>
      </c>
      <c r="M102" s="2" t="s">
        <v>656</v>
      </c>
      <c r="N102" s="2">
        <v>13.36</v>
      </c>
      <c r="O102" s="2">
        <v>13</v>
      </c>
      <c r="P102" s="2">
        <v>44.7</v>
      </c>
      <c r="Q102" s="9">
        <f t="shared" si="6"/>
        <v>13.208181818181817</v>
      </c>
      <c r="R102" s="7">
        <f t="shared" si="7"/>
        <v>1037.7278699228423</v>
      </c>
      <c r="S102" s="10">
        <f t="shared" si="8"/>
        <v>925.71620867336514</v>
      </c>
      <c r="T102" s="7">
        <v>71.400000000000006</v>
      </c>
      <c r="U102" s="7">
        <v>59.3</v>
      </c>
    </row>
    <row r="103" spans="1:21" x14ac:dyDescent="0.25">
      <c r="A103" s="4">
        <v>2023</v>
      </c>
      <c r="B103" s="3" t="s">
        <v>117</v>
      </c>
      <c r="C103" s="3" t="s">
        <v>118</v>
      </c>
      <c r="D103" s="3" t="s">
        <v>119</v>
      </c>
      <c r="E103" s="3" t="s">
        <v>120</v>
      </c>
      <c r="F103" s="3" t="s">
        <v>142</v>
      </c>
      <c r="G103" s="3">
        <v>206</v>
      </c>
      <c r="H103" s="3">
        <v>6</v>
      </c>
      <c r="I103" s="3">
        <v>2</v>
      </c>
      <c r="J103" s="3">
        <v>2</v>
      </c>
      <c r="K103" s="3">
        <v>1</v>
      </c>
      <c r="L103" s="2" t="s">
        <v>100</v>
      </c>
      <c r="M103" s="2" t="s">
        <v>658</v>
      </c>
      <c r="N103" s="2">
        <v>13.22</v>
      </c>
      <c r="O103" s="2">
        <v>12.8</v>
      </c>
      <c r="P103" s="2">
        <v>45</v>
      </c>
      <c r="Q103" s="9">
        <f t="shared" si="6"/>
        <v>13.099818181818183</v>
      </c>
      <c r="R103" s="7">
        <f t="shared" si="7"/>
        <v>1029.2140587799693</v>
      </c>
      <c r="S103" s="10">
        <f t="shared" si="8"/>
        <v>918.12137268507513</v>
      </c>
      <c r="T103" s="7">
        <v>71</v>
      </c>
      <c r="U103" s="7">
        <v>58.2</v>
      </c>
    </row>
    <row r="104" spans="1:21" x14ac:dyDescent="0.25">
      <c r="A104" s="4">
        <v>2023</v>
      </c>
      <c r="B104" s="3" t="s">
        <v>117</v>
      </c>
      <c r="C104" s="3" t="s">
        <v>118</v>
      </c>
      <c r="D104" s="3" t="s">
        <v>119</v>
      </c>
      <c r="E104" s="3" t="s">
        <v>120</v>
      </c>
      <c r="F104" s="3" t="s">
        <v>143</v>
      </c>
      <c r="G104" s="3">
        <v>207</v>
      </c>
      <c r="H104" s="3">
        <v>7</v>
      </c>
      <c r="I104" s="3">
        <v>2</v>
      </c>
      <c r="J104" s="3">
        <v>2</v>
      </c>
      <c r="K104" s="3">
        <v>10</v>
      </c>
      <c r="L104" s="2" t="s">
        <v>27</v>
      </c>
      <c r="M104" s="2" t="s">
        <v>658</v>
      </c>
      <c r="N104" s="2">
        <v>12.54</v>
      </c>
      <c r="O104" s="2">
        <v>15.8</v>
      </c>
      <c r="P104" s="2">
        <v>46.6</v>
      </c>
      <c r="Q104" s="9">
        <f t="shared" si="6"/>
        <v>11.998499999999998</v>
      </c>
      <c r="R104" s="7">
        <f t="shared" si="7"/>
        <v>942.68673907331151</v>
      </c>
      <c r="S104" s="10">
        <f t="shared" si="8"/>
        <v>840.93375474871675</v>
      </c>
      <c r="T104" s="7">
        <v>73.599999999999994</v>
      </c>
      <c r="U104" s="7">
        <v>67.400000000000006</v>
      </c>
    </row>
    <row r="105" spans="1:21" x14ac:dyDescent="0.25">
      <c r="A105" s="4">
        <v>2023</v>
      </c>
      <c r="B105" s="3" t="s">
        <v>117</v>
      </c>
      <c r="C105" s="3" t="s">
        <v>118</v>
      </c>
      <c r="D105" s="3" t="s">
        <v>119</v>
      </c>
      <c r="E105" s="3" t="s">
        <v>120</v>
      </c>
      <c r="F105" s="3" t="s">
        <v>144</v>
      </c>
      <c r="G105" s="3">
        <v>208</v>
      </c>
      <c r="H105" s="3">
        <v>8</v>
      </c>
      <c r="I105" s="3">
        <v>2</v>
      </c>
      <c r="J105" s="3">
        <v>2</v>
      </c>
      <c r="K105" s="3">
        <v>19</v>
      </c>
      <c r="L105" s="2" t="s">
        <v>113</v>
      </c>
      <c r="M105" s="2" t="s">
        <v>658</v>
      </c>
      <c r="N105" s="2">
        <v>10.59</v>
      </c>
      <c r="O105" s="2">
        <v>15.4</v>
      </c>
      <c r="P105" s="2">
        <v>46.5</v>
      </c>
      <c r="Q105" s="9">
        <f t="shared" si="6"/>
        <v>10.180840909090909</v>
      </c>
      <c r="R105" s="7">
        <f t="shared" si="7"/>
        <v>799.87862796308525</v>
      </c>
      <c r="S105" s="10">
        <f t="shared" si="8"/>
        <v>713.54025688053991</v>
      </c>
      <c r="T105" s="7">
        <v>67.599999999999994</v>
      </c>
      <c r="U105" s="7">
        <v>59.9</v>
      </c>
    </row>
    <row r="106" spans="1:21" x14ac:dyDescent="0.25">
      <c r="A106" s="4">
        <v>2023</v>
      </c>
      <c r="B106" s="3" t="s">
        <v>117</v>
      </c>
      <c r="C106" s="3" t="s">
        <v>118</v>
      </c>
      <c r="D106" s="3" t="s">
        <v>119</v>
      </c>
      <c r="E106" s="3" t="s">
        <v>120</v>
      </c>
      <c r="F106" s="3" t="s">
        <v>145</v>
      </c>
      <c r="G106" s="3">
        <v>209</v>
      </c>
      <c r="H106" s="3">
        <v>9</v>
      </c>
      <c r="I106" s="3">
        <v>2</v>
      </c>
      <c r="J106" s="3">
        <v>3</v>
      </c>
      <c r="K106" s="3">
        <v>3</v>
      </c>
      <c r="L106" s="2" t="s">
        <v>100</v>
      </c>
      <c r="M106" s="2" t="s">
        <v>656</v>
      </c>
      <c r="N106" s="2">
        <v>13.6</v>
      </c>
      <c r="O106" s="2">
        <v>13.2</v>
      </c>
      <c r="P106" s="2">
        <v>44.8</v>
      </c>
      <c r="Q106" s="9">
        <f t="shared" si="6"/>
        <v>13.414545454545454</v>
      </c>
      <c r="R106" s="7">
        <f t="shared" si="7"/>
        <v>1053.9412518811657</v>
      </c>
      <c r="S106" s="10">
        <f t="shared" si="8"/>
        <v>940.17952888596403</v>
      </c>
      <c r="T106" s="7">
        <v>70.900000000000006</v>
      </c>
      <c r="U106" s="7">
        <v>58.4</v>
      </c>
    </row>
    <row r="107" spans="1:21" x14ac:dyDescent="0.25">
      <c r="A107" s="4">
        <v>2023</v>
      </c>
      <c r="B107" s="3" t="s">
        <v>117</v>
      </c>
      <c r="C107" s="3" t="s">
        <v>118</v>
      </c>
      <c r="D107" s="3" t="s">
        <v>119</v>
      </c>
      <c r="E107" s="3" t="s">
        <v>120</v>
      </c>
      <c r="F107" s="3" t="s">
        <v>146</v>
      </c>
      <c r="G107" s="3">
        <v>210</v>
      </c>
      <c r="H107" s="3">
        <v>10</v>
      </c>
      <c r="I107" s="3">
        <v>2</v>
      </c>
      <c r="J107" s="3">
        <v>3</v>
      </c>
      <c r="K107" s="3">
        <v>11</v>
      </c>
      <c r="L107" s="2" t="s">
        <v>27</v>
      </c>
      <c r="M107" s="2" t="s">
        <v>657</v>
      </c>
      <c r="N107" s="2">
        <v>12.09</v>
      </c>
      <c r="O107" s="2">
        <v>16.2</v>
      </c>
      <c r="P107" s="2">
        <v>45.8</v>
      </c>
      <c r="Q107" s="9">
        <f t="shared" si="6"/>
        <v>11.512977272727273</v>
      </c>
      <c r="R107" s="7">
        <f t="shared" si="7"/>
        <v>904.540651102423</v>
      </c>
      <c r="S107" s="10">
        <f t="shared" si="8"/>
        <v>806.90513033222396</v>
      </c>
      <c r="T107" s="7">
        <v>73.7</v>
      </c>
      <c r="U107" s="7">
        <v>67.8</v>
      </c>
    </row>
    <row r="108" spans="1:21" x14ac:dyDescent="0.25">
      <c r="A108" s="4">
        <v>2023</v>
      </c>
      <c r="B108" s="3" t="s">
        <v>117</v>
      </c>
      <c r="C108" s="3" t="s">
        <v>118</v>
      </c>
      <c r="D108" s="3" t="s">
        <v>119</v>
      </c>
      <c r="E108" s="3" t="s">
        <v>120</v>
      </c>
      <c r="F108" s="3" t="s">
        <v>147</v>
      </c>
      <c r="G108" s="3">
        <v>211</v>
      </c>
      <c r="H108" s="3">
        <v>11</v>
      </c>
      <c r="I108" s="3">
        <v>2</v>
      </c>
      <c r="J108" s="3">
        <v>3</v>
      </c>
      <c r="K108" s="3">
        <v>8</v>
      </c>
      <c r="L108" s="2" t="s">
        <v>69</v>
      </c>
      <c r="M108" s="2" t="s">
        <v>657</v>
      </c>
      <c r="N108" s="2">
        <v>13.94</v>
      </c>
      <c r="O108" s="2">
        <v>12</v>
      </c>
      <c r="P108" s="2">
        <v>45.2</v>
      </c>
      <c r="Q108" s="9">
        <f t="shared" si="6"/>
        <v>13.94</v>
      </c>
      <c r="R108" s="7">
        <f t="shared" si="7"/>
        <v>1095.2246649732854</v>
      </c>
      <c r="S108" s="10">
        <f t="shared" si="8"/>
        <v>977.00683762112874</v>
      </c>
      <c r="T108" s="7">
        <v>70.7</v>
      </c>
      <c r="U108" s="7">
        <v>59.2</v>
      </c>
    </row>
    <row r="109" spans="1:21" x14ac:dyDescent="0.25">
      <c r="A109" s="4">
        <v>2023</v>
      </c>
      <c r="B109" s="3" t="s">
        <v>117</v>
      </c>
      <c r="C109" s="3" t="s">
        <v>118</v>
      </c>
      <c r="D109" s="3" t="s">
        <v>119</v>
      </c>
      <c r="E109" s="3" t="s">
        <v>120</v>
      </c>
      <c r="F109" s="3" t="s">
        <v>148</v>
      </c>
      <c r="G109" s="3">
        <v>212</v>
      </c>
      <c r="H109" s="3">
        <v>12</v>
      </c>
      <c r="I109" s="3">
        <v>2</v>
      </c>
      <c r="J109" s="3">
        <v>3</v>
      </c>
      <c r="K109" s="3">
        <v>18</v>
      </c>
      <c r="L109" s="2" t="s">
        <v>42</v>
      </c>
      <c r="M109" s="2" t="s">
        <v>656</v>
      </c>
      <c r="N109" s="2">
        <v>11.08</v>
      </c>
      <c r="O109" s="2">
        <v>13.7</v>
      </c>
      <c r="P109" s="2">
        <v>45.2</v>
      </c>
      <c r="Q109" s="9">
        <f t="shared" si="6"/>
        <v>10.865954545454546</v>
      </c>
      <c r="R109" s="7">
        <f t="shared" si="7"/>
        <v>853.7059846958681</v>
      </c>
      <c r="S109" s="10">
        <f t="shared" si="8"/>
        <v>761.55752426036406</v>
      </c>
      <c r="T109" s="7">
        <v>71.7</v>
      </c>
      <c r="U109" s="7">
        <v>67.8</v>
      </c>
    </row>
    <row r="110" spans="1:21" x14ac:dyDescent="0.25">
      <c r="A110" s="4">
        <v>2023</v>
      </c>
      <c r="B110" s="3" t="s">
        <v>117</v>
      </c>
      <c r="C110" s="3" t="s">
        <v>118</v>
      </c>
      <c r="D110" s="3" t="s">
        <v>119</v>
      </c>
      <c r="E110" s="3" t="s">
        <v>120</v>
      </c>
      <c r="F110" s="3" t="s">
        <v>149</v>
      </c>
      <c r="G110" s="3">
        <v>213</v>
      </c>
      <c r="H110" s="3">
        <v>13</v>
      </c>
      <c r="I110" s="3">
        <v>2</v>
      </c>
      <c r="J110" s="3">
        <v>4</v>
      </c>
      <c r="K110" s="3">
        <v>12</v>
      </c>
      <c r="L110" s="2" t="s">
        <v>27</v>
      </c>
      <c r="M110" s="2" t="s">
        <v>656</v>
      </c>
      <c r="N110" s="2">
        <v>12.6</v>
      </c>
      <c r="O110" s="2">
        <v>15.3</v>
      </c>
      <c r="P110" s="2">
        <v>47.3</v>
      </c>
      <c r="Q110" s="9">
        <f t="shared" si="6"/>
        <v>12.1275</v>
      </c>
      <c r="R110" s="7">
        <f t="shared" si="7"/>
        <v>952.82188841201719</v>
      </c>
      <c r="S110" s="10">
        <f t="shared" si="8"/>
        <v>849.97492275826687</v>
      </c>
      <c r="T110" s="7">
        <v>74.400000000000006</v>
      </c>
      <c r="U110" s="7">
        <v>69.2</v>
      </c>
    </row>
    <row r="111" spans="1:21" x14ac:dyDescent="0.25">
      <c r="A111" s="4">
        <v>2023</v>
      </c>
      <c r="B111" s="3" t="s">
        <v>117</v>
      </c>
      <c r="C111" s="3" t="s">
        <v>118</v>
      </c>
      <c r="D111" s="3" t="s">
        <v>119</v>
      </c>
      <c r="E111" s="3" t="s">
        <v>120</v>
      </c>
      <c r="F111" s="3" t="s">
        <v>150</v>
      </c>
      <c r="G111" s="3">
        <v>214</v>
      </c>
      <c r="H111" s="3">
        <v>14</v>
      </c>
      <c r="I111" s="3">
        <v>2</v>
      </c>
      <c r="J111" s="3">
        <v>4</v>
      </c>
      <c r="K111" s="3">
        <v>18</v>
      </c>
      <c r="L111" s="2" t="s">
        <v>42</v>
      </c>
      <c r="M111" s="2" t="s">
        <v>656</v>
      </c>
      <c r="N111" s="2">
        <v>11.57</v>
      </c>
      <c r="O111" s="2">
        <v>13.2</v>
      </c>
      <c r="P111" s="2">
        <v>45.1</v>
      </c>
      <c r="Q111" s="9">
        <f t="shared" si="6"/>
        <v>11.412227272727272</v>
      </c>
      <c r="R111" s="7">
        <f t="shared" si="7"/>
        <v>896.62502090184478</v>
      </c>
      <c r="S111" s="10">
        <f t="shared" si="8"/>
        <v>799.84390803019164</v>
      </c>
      <c r="T111" s="7">
        <v>72.099999999999994</v>
      </c>
      <c r="U111" s="7">
        <v>68.599999999999994</v>
      </c>
    </row>
    <row r="112" spans="1:21" x14ac:dyDescent="0.25">
      <c r="A112" s="4">
        <v>2023</v>
      </c>
      <c r="B112" s="3" t="s">
        <v>117</v>
      </c>
      <c r="C112" s="3" t="s">
        <v>118</v>
      </c>
      <c r="D112" s="3" t="s">
        <v>119</v>
      </c>
      <c r="E112" s="3" t="s">
        <v>120</v>
      </c>
      <c r="F112" s="3" t="s">
        <v>151</v>
      </c>
      <c r="G112" s="3">
        <v>215</v>
      </c>
      <c r="H112" s="3">
        <v>15</v>
      </c>
      <c r="I112" s="3">
        <v>2</v>
      </c>
      <c r="J112" s="3">
        <v>4</v>
      </c>
      <c r="K112" s="3">
        <v>11</v>
      </c>
      <c r="L112" s="2" t="s">
        <v>27</v>
      </c>
      <c r="M112" s="2" t="s">
        <v>657</v>
      </c>
      <c r="N112" s="2">
        <v>12.73</v>
      </c>
      <c r="O112" s="2">
        <v>15.7</v>
      </c>
      <c r="P112" s="2">
        <v>47.1</v>
      </c>
      <c r="Q112" s="9">
        <f t="shared" si="6"/>
        <v>12.194761363636363</v>
      </c>
      <c r="R112" s="7">
        <f t="shared" si="7"/>
        <v>958.10641527387372</v>
      </c>
      <c r="S112" s="10">
        <f t="shared" si="8"/>
        <v>854.6890412791023</v>
      </c>
      <c r="T112" s="7">
        <v>74.5</v>
      </c>
      <c r="U112" s="7">
        <v>69.599999999999994</v>
      </c>
    </row>
    <row r="113" spans="1:21" x14ac:dyDescent="0.25">
      <c r="A113" s="4">
        <v>2023</v>
      </c>
      <c r="B113" s="3" t="s">
        <v>117</v>
      </c>
      <c r="C113" s="3" t="s">
        <v>118</v>
      </c>
      <c r="D113" s="3" t="s">
        <v>119</v>
      </c>
      <c r="E113" s="3" t="s">
        <v>120</v>
      </c>
      <c r="F113" s="3" t="s">
        <v>152</v>
      </c>
      <c r="G113" s="3">
        <v>216</v>
      </c>
      <c r="H113" s="3">
        <v>16</v>
      </c>
      <c r="I113" s="3">
        <v>2</v>
      </c>
      <c r="J113" s="3">
        <v>4</v>
      </c>
      <c r="K113" s="3">
        <v>19</v>
      </c>
      <c r="L113" s="2" t="s">
        <v>113</v>
      </c>
      <c r="M113" s="2" t="s">
        <v>658</v>
      </c>
      <c r="N113" s="2">
        <v>12.37</v>
      </c>
      <c r="O113" s="2">
        <v>14</v>
      </c>
      <c r="P113" s="2">
        <v>46.4</v>
      </c>
      <c r="Q113" s="9">
        <f t="shared" si="6"/>
        <v>12.088863636363635</v>
      </c>
      <c r="R113" s="7">
        <f t="shared" si="7"/>
        <v>949.78634333171408</v>
      </c>
      <c r="S113" s="10">
        <f t="shared" si="8"/>
        <v>847.26703241009284</v>
      </c>
      <c r="T113" s="7">
        <v>67.7</v>
      </c>
      <c r="U113" s="7">
        <v>59.9</v>
      </c>
    </row>
    <row r="114" spans="1:21" x14ac:dyDescent="0.25">
      <c r="A114" s="4">
        <v>2023</v>
      </c>
      <c r="B114" s="3" t="s">
        <v>117</v>
      </c>
      <c r="C114" s="3" t="s">
        <v>118</v>
      </c>
      <c r="D114" s="3" t="s">
        <v>119</v>
      </c>
      <c r="E114" s="3" t="s">
        <v>120</v>
      </c>
      <c r="F114" s="3" t="s">
        <v>153</v>
      </c>
      <c r="G114" s="3">
        <v>301</v>
      </c>
      <c r="H114" s="3">
        <v>1</v>
      </c>
      <c r="I114" s="3">
        <v>3</v>
      </c>
      <c r="J114" s="3">
        <v>1</v>
      </c>
      <c r="K114" s="3">
        <v>1</v>
      </c>
      <c r="L114" s="2" t="s">
        <v>100</v>
      </c>
      <c r="M114" s="2" t="s">
        <v>658</v>
      </c>
      <c r="N114" s="2">
        <v>12.35</v>
      </c>
      <c r="O114" s="2">
        <v>13.8</v>
      </c>
      <c r="P114" s="2">
        <v>45.1</v>
      </c>
      <c r="Q114" s="9">
        <f t="shared" ref="Q114:Q145" si="9">N114*(1-O114/100)/(1-0.12)</f>
        <v>12.097386363636364</v>
      </c>
      <c r="R114" s="7">
        <f t="shared" ref="R114:R145" si="10">((10000*Q114*12%/2.205))/((4.66*16)/10.764)</f>
        <v>950.45594886413392</v>
      </c>
      <c r="S114" s="10">
        <f t="shared" ref="S114:S145" si="11">R114/1.121</f>
        <v>847.86436116336654</v>
      </c>
      <c r="T114" s="7">
        <v>71.3</v>
      </c>
      <c r="U114" s="7">
        <v>58.4</v>
      </c>
    </row>
    <row r="115" spans="1:21" x14ac:dyDescent="0.25">
      <c r="A115" s="4">
        <v>2023</v>
      </c>
      <c r="B115" s="3" t="s">
        <v>117</v>
      </c>
      <c r="C115" s="3" t="s">
        <v>118</v>
      </c>
      <c r="D115" s="3" t="s">
        <v>119</v>
      </c>
      <c r="E115" s="3" t="s">
        <v>120</v>
      </c>
      <c r="F115" s="3" t="s">
        <v>154</v>
      </c>
      <c r="G115" s="3">
        <v>302</v>
      </c>
      <c r="H115" s="3">
        <v>2</v>
      </c>
      <c r="I115" s="3">
        <v>3</v>
      </c>
      <c r="J115" s="3">
        <v>1</v>
      </c>
      <c r="K115" s="3">
        <v>10</v>
      </c>
      <c r="L115" s="2" t="s">
        <v>27</v>
      </c>
      <c r="M115" s="2" t="s">
        <v>658</v>
      </c>
      <c r="N115" s="2">
        <v>11.16</v>
      </c>
      <c r="O115" s="2">
        <v>17.100000000000001</v>
      </c>
      <c r="P115" s="2">
        <v>47.8</v>
      </c>
      <c r="Q115" s="9">
        <f t="shared" si="9"/>
        <v>10.513227272727272</v>
      </c>
      <c r="R115" s="7">
        <f t="shared" si="10"/>
        <v>825.99324372745582</v>
      </c>
      <c r="S115" s="10">
        <f t="shared" si="11"/>
        <v>736.83607825821218</v>
      </c>
      <c r="T115" s="7">
        <v>74</v>
      </c>
      <c r="U115" s="7">
        <v>69.2</v>
      </c>
    </row>
    <row r="116" spans="1:21" x14ac:dyDescent="0.25">
      <c r="A116" s="4">
        <v>2023</v>
      </c>
      <c r="B116" s="3" t="s">
        <v>117</v>
      </c>
      <c r="C116" s="3" t="s">
        <v>118</v>
      </c>
      <c r="D116" s="3" t="s">
        <v>119</v>
      </c>
      <c r="E116" s="3" t="s">
        <v>120</v>
      </c>
      <c r="F116" s="3" t="s">
        <v>155</v>
      </c>
      <c r="G116" s="3">
        <v>303</v>
      </c>
      <c r="H116" s="3">
        <v>3</v>
      </c>
      <c r="I116" s="3">
        <v>3</v>
      </c>
      <c r="J116" s="3">
        <v>1</v>
      </c>
      <c r="K116" s="3">
        <v>18</v>
      </c>
      <c r="L116" s="2" t="s">
        <v>42</v>
      </c>
      <c r="M116" s="2" t="s">
        <v>656</v>
      </c>
      <c r="N116" s="2">
        <v>10.119999999999999</v>
      </c>
      <c r="O116" s="2">
        <v>14.7</v>
      </c>
      <c r="P116" s="2">
        <v>44.7</v>
      </c>
      <c r="Q116" s="9">
        <f t="shared" si="9"/>
        <v>9.8094999999999981</v>
      </c>
      <c r="R116" s="7">
        <f t="shared" si="10"/>
        <v>770.70346851186798</v>
      </c>
      <c r="S116" s="10">
        <f t="shared" si="11"/>
        <v>687.51424488123814</v>
      </c>
      <c r="T116" s="7">
        <v>71.599999999999994</v>
      </c>
      <c r="U116" s="7">
        <v>67.7</v>
      </c>
    </row>
    <row r="117" spans="1:21" x14ac:dyDescent="0.25">
      <c r="A117" s="4">
        <v>2023</v>
      </c>
      <c r="B117" s="3" t="s">
        <v>117</v>
      </c>
      <c r="C117" s="3" t="s">
        <v>118</v>
      </c>
      <c r="D117" s="3" t="s">
        <v>119</v>
      </c>
      <c r="E117" s="3" t="s">
        <v>120</v>
      </c>
      <c r="F117" s="3" t="s">
        <v>156</v>
      </c>
      <c r="G117" s="3">
        <v>304</v>
      </c>
      <c r="H117" s="3">
        <v>4</v>
      </c>
      <c r="I117" s="3">
        <v>3</v>
      </c>
      <c r="J117" s="3">
        <v>1</v>
      </c>
      <c r="K117" s="3">
        <v>4</v>
      </c>
      <c r="L117" s="2" t="s">
        <v>56</v>
      </c>
      <c r="M117" s="2" t="s">
        <v>658</v>
      </c>
      <c r="N117" s="2">
        <v>9.67</v>
      </c>
      <c r="O117" s="2">
        <v>12.6</v>
      </c>
      <c r="P117" s="2">
        <v>44.5</v>
      </c>
      <c r="Q117" s="9">
        <f t="shared" si="9"/>
        <v>9.6040681818181817</v>
      </c>
      <c r="R117" s="7">
        <f t="shared" si="10"/>
        <v>754.56329675842244</v>
      </c>
      <c r="S117" s="10">
        <f t="shared" si="11"/>
        <v>673.11623261233046</v>
      </c>
      <c r="T117" s="7">
        <v>71.099999999999994</v>
      </c>
      <c r="U117" s="7">
        <v>61.9</v>
      </c>
    </row>
    <row r="118" spans="1:21" x14ac:dyDescent="0.25">
      <c r="A118" s="4">
        <v>2023</v>
      </c>
      <c r="B118" s="3" t="s">
        <v>117</v>
      </c>
      <c r="C118" s="3" t="s">
        <v>118</v>
      </c>
      <c r="D118" s="3" t="s">
        <v>119</v>
      </c>
      <c r="E118" s="3" t="s">
        <v>120</v>
      </c>
      <c r="F118" s="3" t="s">
        <v>157</v>
      </c>
      <c r="G118" s="3">
        <v>305</v>
      </c>
      <c r="H118" s="3">
        <v>5</v>
      </c>
      <c r="I118" s="3">
        <v>3</v>
      </c>
      <c r="J118" s="3">
        <v>2</v>
      </c>
      <c r="K118" s="3">
        <v>20</v>
      </c>
      <c r="L118" s="2" t="s">
        <v>82</v>
      </c>
      <c r="M118" s="2" t="s">
        <v>658</v>
      </c>
      <c r="N118" s="2">
        <v>14.21</v>
      </c>
      <c r="O118" s="2">
        <v>16.100000000000001</v>
      </c>
      <c r="P118" s="2">
        <v>46</v>
      </c>
      <c r="Q118" s="9">
        <f t="shared" si="9"/>
        <v>13.547943181818182</v>
      </c>
      <c r="R118" s="7">
        <f t="shared" si="10"/>
        <v>1064.4219176746001</v>
      </c>
      <c r="S118" s="10">
        <f t="shared" si="11"/>
        <v>949.52891853220342</v>
      </c>
      <c r="T118" s="7">
        <v>72.7</v>
      </c>
      <c r="U118" s="7">
        <v>66.3</v>
      </c>
    </row>
    <row r="119" spans="1:21" x14ac:dyDescent="0.25">
      <c r="A119" s="4">
        <v>2023</v>
      </c>
      <c r="B119" s="3" t="s">
        <v>117</v>
      </c>
      <c r="C119" s="3" t="s">
        <v>118</v>
      </c>
      <c r="D119" s="3" t="s">
        <v>119</v>
      </c>
      <c r="E119" s="3" t="s">
        <v>120</v>
      </c>
      <c r="F119" s="3" t="s">
        <v>158</v>
      </c>
      <c r="G119" s="3">
        <v>306</v>
      </c>
      <c r="H119" s="3">
        <v>6</v>
      </c>
      <c r="I119" s="3">
        <v>3</v>
      </c>
      <c r="J119" s="3">
        <v>2</v>
      </c>
      <c r="K119" s="3">
        <v>9</v>
      </c>
      <c r="L119" s="2" t="s">
        <v>69</v>
      </c>
      <c r="M119" s="2" t="s">
        <v>656</v>
      </c>
      <c r="N119" s="2">
        <v>13.63</v>
      </c>
      <c r="O119" s="2">
        <v>13.3</v>
      </c>
      <c r="P119" s="2">
        <v>46.1</v>
      </c>
      <c r="Q119" s="9">
        <f t="shared" si="9"/>
        <v>13.428647727272729</v>
      </c>
      <c r="R119" s="7">
        <f t="shared" si="10"/>
        <v>1055.0492258354768</v>
      </c>
      <c r="S119" s="10">
        <f t="shared" si="11"/>
        <v>941.16790886304796</v>
      </c>
      <c r="T119" s="7">
        <v>70.5</v>
      </c>
      <c r="U119" s="7">
        <v>61.1</v>
      </c>
    </row>
    <row r="120" spans="1:21" x14ac:dyDescent="0.25">
      <c r="A120" s="4">
        <v>2023</v>
      </c>
      <c r="B120" s="3" t="s">
        <v>117</v>
      </c>
      <c r="C120" s="3" t="s">
        <v>118</v>
      </c>
      <c r="D120" s="3" t="s">
        <v>119</v>
      </c>
      <c r="E120" s="3" t="s">
        <v>120</v>
      </c>
      <c r="F120" s="3" t="s">
        <v>159</v>
      </c>
      <c r="G120" s="3">
        <v>307</v>
      </c>
      <c r="H120" s="3">
        <v>7</v>
      </c>
      <c r="I120" s="3">
        <v>3</v>
      </c>
      <c r="J120" s="3">
        <v>2</v>
      </c>
      <c r="K120" s="3">
        <v>14</v>
      </c>
      <c r="L120" s="2" t="s">
        <v>87</v>
      </c>
      <c r="M120" s="2" t="s">
        <v>657</v>
      </c>
      <c r="N120" s="2">
        <v>10.220000000000001</v>
      </c>
      <c r="O120" s="2">
        <v>10.5</v>
      </c>
      <c r="P120" s="2">
        <v>40.1</v>
      </c>
      <c r="Q120" s="9">
        <f t="shared" si="9"/>
        <v>10.394204545454546</v>
      </c>
      <c r="R120" s="7">
        <f t="shared" si="10"/>
        <v>816.64197926536974</v>
      </c>
      <c r="S120" s="10">
        <f t="shared" si="11"/>
        <v>728.49418310916121</v>
      </c>
      <c r="T120" s="7">
        <v>69.8</v>
      </c>
      <c r="U120" s="7">
        <v>59.2</v>
      </c>
    </row>
    <row r="121" spans="1:21" x14ac:dyDescent="0.25">
      <c r="A121" s="4">
        <v>2023</v>
      </c>
      <c r="B121" s="3" t="s">
        <v>117</v>
      </c>
      <c r="C121" s="3" t="s">
        <v>118</v>
      </c>
      <c r="D121" s="3" t="s">
        <v>119</v>
      </c>
      <c r="E121" s="3" t="s">
        <v>120</v>
      </c>
      <c r="F121" s="3" t="s">
        <v>160</v>
      </c>
      <c r="G121" s="3">
        <v>308</v>
      </c>
      <c r="H121" s="3">
        <v>8</v>
      </c>
      <c r="I121" s="3">
        <v>3</v>
      </c>
      <c r="J121" s="3">
        <v>2</v>
      </c>
      <c r="K121" s="3">
        <v>8</v>
      </c>
      <c r="L121" s="2" t="s">
        <v>69</v>
      </c>
      <c r="M121" s="2" t="s">
        <v>657</v>
      </c>
      <c r="N121" s="2">
        <v>13.43</v>
      </c>
      <c r="O121" s="2">
        <v>13</v>
      </c>
      <c r="P121" s="2">
        <v>45.8</v>
      </c>
      <c r="Q121" s="9">
        <f t="shared" si="9"/>
        <v>13.277386363636362</v>
      </c>
      <c r="R121" s="7">
        <f t="shared" si="10"/>
        <v>1043.1650668460907</v>
      </c>
      <c r="S121" s="10">
        <f t="shared" si="11"/>
        <v>930.56651814994711</v>
      </c>
      <c r="T121" s="7">
        <v>69.599999999999994</v>
      </c>
      <c r="U121" s="7">
        <v>59.8</v>
      </c>
    </row>
    <row r="122" spans="1:21" x14ac:dyDescent="0.25">
      <c r="A122" s="4">
        <v>2023</v>
      </c>
      <c r="B122" s="3" t="s">
        <v>117</v>
      </c>
      <c r="C122" s="3" t="s">
        <v>118</v>
      </c>
      <c r="D122" s="3" t="s">
        <v>119</v>
      </c>
      <c r="E122" s="3" t="s">
        <v>120</v>
      </c>
      <c r="F122" s="3" t="s">
        <v>161</v>
      </c>
      <c r="G122" s="3">
        <v>309</v>
      </c>
      <c r="H122" s="3">
        <v>9</v>
      </c>
      <c r="I122" s="3">
        <v>3</v>
      </c>
      <c r="J122" s="3">
        <v>3</v>
      </c>
      <c r="K122" s="3">
        <v>15</v>
      </c>
      <c r="L122" s="2" t="s">
        <v>87</v>
      </c>
      <c r="M122" s="2" t="s">
        <v>656</v>
      </c>
      <c r="N122" s="2">
        <v>10.210000000000001</v>
      </c>
      <c r="O122" s="2">
        <v>10.7</v>
      </c>
      <c r="P122" s="2">
        <v>41.3</v>
      </c>
      <c r="Q122" s="9">
        <f t="shared" si="9"/>
        <v>10.360829545454546</v>
      </c>
      <c r="R122" s="7">
        <f t="shared" si="10"/>
        <v>814.01980400041407</v>
      </c>
      <c r="S122" s="10">
        <f t="shared" si="11"/>
        <v>726.1550437113417</v>
      </c>
      <c r="T122" s="7">
        <v>69.7</v>
      </c>
      <c r="U122" s="7">
        <v>60.2</v>
      </c>
    </row>
    <row r="123" spans="1:21" x14ac:dyDescent="0.25">
      <c r="A123" s="4">
        <v>2023</v>
      </c>
      <c r="B123" s="3" t="s">
        <v>117</v>
      </c>
      <c r="C123" s="3" t="s">
        <v>118</v>
      </c>
      <c r="D123" s="3" t="s">
        <v>119</v>
      </c>
      <c r="E123" s="3" t="s">
        <v>120</v>
      </c>
      <c r="F123" s="3" t="s">
        <v>162</v>
      </c>
      <c r="G123" s="3">
        <v>310</v>
      </c>
      <c r="H123" s="3">
        <v>10</v>
      </c>
      <c r="I123" s="3">
        <v>3</v>
      </c>
      <c r="J123" s="3">
        <v>3</v>
      </c>
      <c r="K123" s="3">
        <v>20</v>
      </c>
      <c r="L123" s="2" t="s">
        <v>82</v>
      </c>
      <c r="M123" s="2" t="s">
        <v>658</v>
      </c>
      <c r="N123" s="2">
        <v>13.8</v>
      </c>
      <c r="O123" s="2">
        <v>15.4</v>
      </c>
      <c r="P123" s="2">
        <v>45.5</v>
      </c>
      <c r="Q123" s="9">
        <f t="shared" si="9"/>
        <v>13.266818181818181</v>
      </c>
      <c r="R123" s="7">
        <f t="shared" si="10"/>
        <v>1042.3347559858898</v>
      </c>
      <c r="S123" s="10">
        <f t="shared" si="11"/>
        <v>929.82583049588743</v>
      </c>
      <c r="T123" s="7">
        <v>72.7</v>
      </c>
      <c r="U123" s="7">
        <v>66.8</v>
      </c>
    </row>
    <row r="124" spans="1:21" x14ac:dyDescent="0.25">
      <c r="A124" s="4">
        <v>2023</v>
      </c>
      <c r="B124" s="3" t="s">
        <v>117</v>
      </c>
      <c r="C124" s="3" t="s">
        <v>118</v>
      </c>
      <c r="D124" s="3" t="s">
        <v>119</v>
      </c>
      <c r="E124" s="3" t="s">
        <v>120</v>
      </c>
      <c r="F124" s="3" t="s">
        <v>163</v>
      </c>
      <c r="G124" s="3">
        <v>311</v>
      </c>
      <c r="H124" s="3">
        <v>11</v>
      </c>
      <c r="I124" s="3">
        <v>3</v>
      </c>
      <c r="J124" s="3">
        <v>3</v>
      </c>
      <c r="K124" s="3">
        <v>5</v>
      </c>
      <c r="L124" s="2" t="s">
        <v>56</v>
      </c>
      <c r="M124" s="2" t="s">
        <v>657</v>
      </c>
      <c r="N124" s="2">
        <v>11.51</v>
      </c>
      <c r="O124" s="2">
        <v>12.3</v>
      </c>
      <c r="P124" s="2">
        <v>45</v>
      </c>
      <c r="Q124" s="9">
        <f t="shared" si="9"/>
        <v>11.470761363636363</v>
      </c>
      <c r="R124" s="7">
        <f t="shared" si="10"/>
        <v>901.22387169850367</v>
      </c>
      <c r="S124" s="10">
        <f t="shared" si="11"/>
        <v>803.94636190767505</v>
      </c>
      <c r="T124" s="7">
        <v>71.599999999999994</v>
      </c>
      <c r="U124" s="7">
        <v>63.9</v>
      </c>
    </row>
    <row r="125" spans="1:21" x14ac:dyDescent="0.25">
      <c r="A125" s="4">
        <v>2023</v>
      </c>
      <c r="B125" s="3" t="s">
        <v>117</v>
      </c>
      <c r="C125" s="3" t="s">
        <v>118</v>
      </c>
      <c r="D125" s="3" t="s">
        <v>119</v>
      </c>
      <c r="E125" s="3" t="s">
        <v>120</v>
      </c>
      <c r="F125" s="3" t="s">
        <v>164</v>
      </c>
      <c r="G125" s="3">
        <v>312</v>
      </c>
      <c r="H125" s="3">
        <v>12</v>
      </c>
      <c r="I125" s="3">
        <v>3</v>
      </c>
      <c r="J125" s="3">
        <v>3</v>
      </c>
      <c r="K125" s="3">
        <v>12</v>
      </c>
      <c r="L125" s="2" t="s">
        <v>27</v>
      </c>
      <c r="M125" s="2" t="s">
        <v>656</v>
      </c>
      <c r="N125" s="2">
        <v>11.37</v>
      </c>
      <c r="O125" s="2">
        <v>16.100000000000001</v>
      </c>
      <c r="P125" s="2">
        <v>46.6</v>
      </c>
      <c r="Q125" s="9">
        <f t="shared" si="9"/>
        <v>10.840261363636364</v>
      </c>
      <c r="R125" s="7">
        <f t="shared" si="10"/>
        <v>851.68734721746659</v>
      </c>
      <c r="S125" s="10">
        <f t="shared" si="11"/>
        <v>759.75677717882832</v>
      </c>
      <c r="T125" s="7">
        <v>73.900000000000006</v>
      </c>
      <c r="U125" s="7">
        <v>68.8</v>
      </c>
    </row>
    <row r="126" spans="1:21" x14ac:dyDescent="0.25">
      <c r="A126" s="4">
        <v>2023</v>
      </c>
      <c r="B126" s="3" t="s">
        <v>117</v>
      </c>
      <c r="C126" s="3" t="s">
        <v>118</v>
      </c>
      <c r="D126" s="3" t="s">
        <v>119</v>
      </c>
      <c r="E126" s="3" t="s">
        <v>120</v>
      </c>
      <c r="F126" s="3" t="s">
        <v>165</v>
      </c>
      <c r="G126" s="3">
        <v>313</v>
      </c>
      <c r="H126" s="3">
        <v>13</v>
      </c>
      <c r="I126" s="3">
        <v>3</v>
      </c>
      <c r="J126" s="3">
        <v>4</v>
      </c>
      <c r="K126" s="3">
        <v>2</v>
      </c>
      <c r="L126" s="2" t="s">
        <v>100</v>
      </c>
      <c r="M126" s="2" t="s">
        <v>657</v>
      </c>
      <c r="N126" s="2">
        <v>12.68</v>
      </c>
      <c r="O126" s="2">
        <v>13</v>
      </c>
      <c r="P126" s="2">
        <v>45</v>
      </c>
      <c r="Q126" s="9">
        <f t="shared" si="9"/>
        <v>12.53590909090909</v>
      </c>
      <c r="R126" s="7">
        <f t="shared" si="10"/>
        <v>984.90938552557168</v>
      </c>
      <c r="S126" s="10">
        <f t="shared" si="11"/>
        <v>878.59891661513973</v>
      </c>
      <c r="T126" s="7">
        <v>71.3</v>
      </c>
      <c r="U126" s="7">
        <v>57.7</v>
      </c>
    </row>
    <row r="127" spans="1:21" x14ac:dyDescent="0.25">
      <c r="A127" s="4">
        <v>2023</v>
      </c>
      <c r="B127" s="3" t="s">
        <v>117</v>
      </c>
      <c r="C127" s="3" t="s">
        <v>118</v>
      </c>
      <c r="D127" s="3" t="s">
        <v>119</v>
      </c>
      <c r="E127" s="3" t="s">
        <v>120</v>
      </c>
      <c r="F127" s="3" t="s">
        <v>166</v>
      </c>
      <c r="G127" s="3">
        <v>314</v>
      </c>
      <c r="H127" s="3">
        <v>14</v>
      </c>
      <c r="I127" s="3">
        <v>3</v>
      </c>
      <c r="J127" s="3">
        <v>4</v>
      </c>
      <c r="K127" s="3">
        <v>10</v>
      </c>
      <c r="L127" s="2" t="s">
        <v>27</v>
      </c>
      <c r="M127" s="2" t="s">
        <v>658</v>
      </c>
      <c r="N127" s="2">
        <v>12.21</v>
      </c>
      <c r="O127" s="2">
        <v>15.8</v>
      </c>
      <c r="P127" s="2">
        <v>46.9</v>
      </c>
      <c r="Q127" s="9">
        <f t="shared" si="9"/>
        <v>11.68275</v>
      </c>
      <c r="R127" s="7">
        <f t="shared" si="10"/>
        <v>917.87919330822444</v>
      </c>
      <c r="S127" s="10">
        <f t="shared" si="11"/>
        <v>818.8039190974348</v>
      </c>
      <c r="T127" s="7">
        <v>73.7</v>
      </c>
      <c r="U127" s="7">
        <v>68.2</v>
      </c>
    </row>
    <row r="128" spans="1:21" x14ac:dyDescent="0.25">
      <c r="A128" s="4">
        <v>2023</v>
      </c>
      <c r="B128" s="3" t="s">
        <v>117</v>
      </c>
      <c r="C128" s="3" t="s">
        <v>118</v>
      </c>
      <c r="D128" s="3" t="s">
        <v>119</v>
      </c>
      <c r="E128" s="3" t="s">
        <v>120</v>
      </c>
      <c r="F128" s="3" t="s">
        <v>167</v>
      </c>
      <c r="G128" s="3">
        <v>315</v>
      </c>
      <c r="H128" s="3">
        <v>15</v>
      </c>
      <c r="I128" s="3">
        <v>3</v>
      </c>
      <c r="J128" s="3">
        <v>4</v>
      </c>
      <c r="K128" s="3">
        <v>20</v>
      </c>
      <c r="L128" s="2" t="s">
        <v>82</v>
      </c>
      <c r="M128" s="2" t="s">
        <v>658</v>
      </c>
      <c r="N128" s="2">
        <v>13.79</v>
      </c>
      <c r="O128" s="2">
        <v>14.8</v>
      </c>
      <c r="P128" s="2">
        <v>45.2</v>
      </c>
      <c r="Q128" s="9">
        <f t="shared" si="9"/>
        <v>13.351227272727272</v>
      </c>
      <c r="R128" s="7">
        <f t="shared" si="10"/>
        <v>1048.9665291789754</v>
      </c>
      <c r="S128" s="10">
        <f t="shared" si="11"/>
        <v>935.74177446830993</v>
      </c>
      <c r="T128" s="7">
        <v>72.599999999999994</v>
      </c>
      <c r="U128" s="7">
        <v>66.3</v>
      </c>
    </row>
    <row r="129" spans="1:22" x14ac:dyDescent="0.25">
      <c r="A129" s="4">
        <v>2023</v>
      </c>
      <c r="B129" s="3" t="s">
        <v>117</v>
      </c>
      <c r="C129" s="3" t="s">
        <v>118</v>
      </c>
      <c r="D129" s="3" t="s">
        <v>119</v>
      </c>
      <c r="E129" s="3" t="s">
        <v>120</v>
      </c>
      <c r="F129" s="3" t="s">
        <v>168</v>
      </c>
      <c r="G129" s="3">
        <v>316</v>
      </c>
      <c r="H129" s="3">
        <v>16</v>
      </c>
      <c r="I129" s="3">
        <v>3</v>
      </c>
      <c r="J129" s="3">
        <v>4</v>
      </c>
      <c r="K129" s="3">
        <v>5</v>
      </c>
      <c r="L129" s="2" t="s">
        <v>56</v>
      </c>
      <c r="M129" s="2" t="s">
        <v>657</v>
      </c>
      <c r="N129" s="2">
        <v>13.07</v>
      </c>
      <c r="O129" s="2">
        <v>11.5</v>
      </c>
      <c r="P129" s="2">
        <v>44.7</v>
      </c>
      <c r="Q129" s="9">
        <f t="shared" si="9"/>
        <v>13.144261363636364</v>
      </c>
      <c r="R129" s="7">
        <f t="shared" si="10"/>
        <v>1032.7058284296943</v>
      </c>
      <c r="S129" s="10">
        <f t="shared" si="11"/>
        <v>921.2362430238129</v>
      </c>
      <c r="T129" s="7">
        <v>71.400000000000006</v>
      </c>
      <c r="U129" s="7">
        <v>64.400000000000006</v>
      </c>
    </row>
    <row r="130" spans="1:22" x14ac:dyDescent="0.25">
      <c r="A130" s="4">
        <v>2023</v>
      </c>
      <c r="B130" s="3" t="s">
        <v>117</v>
      </c>
      <c r="C130" s="3" t="s">
        <v>118</v>
      </c>
      <c r="D130" s="3" t="s">
        <v>119</v>
      </c>
      <c r="E130" s="3" t="s">
        <v>120</v>
      </c>
      <c r="F130" s="3" t="s">
        <v>169</v>
      </c>
      <c r="G130" s="3">
        <v>401</v>
      </c>
      <c r="H130" s="3">
        <v>1</v>
      </c>
      <c r="I130" s="3">
        <v>4</v>
      </c>
      <c r="J130" s="3">
        <v>1</v>
      </c>
      <c r="K130" s="3">
        <v>8</v>
      </c>
      <c r="L130" s="2" t="s">
        <v>69</v>
      </c>
      <c r="M130" s="2" t="s">
        <v>657</v>
      </c>
      <c r="N130" s="2">
        <v>13.59</v>
      </c>
      <c r="O130" s="2">
        <v>13.6</v>
      </c>
      <c r="P130" s="2">
        <v>46</v>
      </c>
      <c r="Q130" s="9">
        <f t="shared" si="9"/>
        <v>13.342909090909091</v>
      </c>
      <c r="R130" s="7">
        <f t="shared" si="10"/>
        <v>1048.3129941793338</v>
      </c>
      <c r="S130" s="10">
        <f t="shared" si="11"/>
        <v>935.15878160511488</v>
      </c>
      <c r="T130" s="7">
        <v>70.7</v>
      </c>
      <c r="U130" s="7">
        <v>60.7</v>
      </c>
    </row>
    <row r="131" spans="1:22" x14ac:dyDescent="0.25">
      <c r="A131" s="4">
        <v>2023</v>
      </c>
      <c r="B131" s="3" t="s">
        <v>117</v>
      </c>
      <c r="C131" s="3" t="s">
        <v>118</v>
      </c>
      <c r="D131" s="3" t="s">
        <v>119</v>
      </c>
      <c r="E131" s="3" t="s">
        <v>120</v>
      </c>
      <c r="F131" s="3" t="s">
        <v>170</v>
      </c>
      <c r="G131" s="3">
        <v>402</v>
      </c>
      <c r="H131" s="3">
        <v>2</v>
      </c>
      <c r="I131" s="3">
        <v>4</v>
      </c>
      <c r="J131" s="3">
        <v>1</v>
      </c>
      <c r="K131" s="3">
        <v>9</v>
      </c>
      <c r="L131" s="2" t="s">
        <v>69</v>
      </c>
      <c r="M131" s="2" t="s">
        <v>656</v>
      </c>
      <c r="N131" s="2">
        <v>13.46</v>
      </c>
      <c r="O131" s="2">
        <v>13.2</v>
      </c>
      <c r="P131" s="2">
        <v>45.6</v>
      </c>
      <c r="Q131" s="9">
        <f t="shared" si="9"/>
        <v>13.276454545454545</v>
      </c>
      <c r="R131" s="7">
        <f t="shared" si="10"/>
        <v>1043.0918566412126</v>
      </c>
      <c r="S131" s="10">
        <f t="shared" si="11"/>
        <v>930.50121020625568</v>
      </c>
      <c r="T131" s="7">
        <v>70.400000000000006</v>
      </c>
      <c r="U131" s="7">
        <v>61.2</v>
      </c>
    </row>
    <row r="132" spans="1:22" x14ac:dyDescent="0.25">
      <c r="A132" s="4">
        <v>2023</v>
      </c>
      <c r="B132" s="3" t="s">
        <v>117</v>
      </c>
      <c r="C132" s="3" t="s">
        <v>118</v>
      </c>
      <c r="D132" s="3" t="s">
        <v>119</v>
      </c>
      <c r="E132" s="3" t="s">
        <v>120</v>
      </c>
      <c r="F132" s="3" t="s">
        <v>171</v>
      </c>
      <c r="G132" s="3">
        <v>403</v>
      </c>
      <c r="H132" s="3">
        <v>3</v>
      </c>
      <c r="I132" s="3">
        <v>4</v>
      </c>
      <c r="J132" s="3">
        <v>1</v>
      </c>
      <c r="K132" s="3">
        <v>11</v>
      </c>
      <c r="L132" s="2" t="s">
        <v>27</v>
      </c>
      <c r="M132" s="2" t="s">
        <v>657</v>
      </c>
      <c r="N132" s="2">
        <v>9.64</v>
      </c>
      <c r="O132" s="2">
        <v>16.3</v>
      </c>
      <c r="P132" s="2">
        <v>47.3</v>
      </c>
      <c r="Q132" s="9">
        <f t="shared" si="9"/>
        <v>9.1689545454545467</v>
      </c>
      <c r="R132" s="7">
        <f t="shared" si="10"/>
        <v>720.3777023099525</v>
      </c>
      <c r="S132" s="10">
        <f t="shared" si="11"/>
        <v>642.62060866186664</v>
      </c>
      <c r="T132" s="7">
        <v>73.900000000000006</v>
      </c>
      <c r="U132" s="7">
        <v>68</v>
      </c>
    </row>
    <row r="133" spans="1:22" x14ac:dyDescent="0.25">
      <c r="A133" s="4">
        <v>2023</v>
      </c>
      <c r="B133" s="3" t="s">
        <v>117</v>
      </c>
      <c r="C133" s="3" t="s">
        <v>118</v>
      </c>
      <c r="D133" s="3" t="s">
        <v>119</v>
      </c>
      <c r="E133" s="3" t="s">
        <v>120</v>
      </c>
      <c r="F133" s="3" t="s">
        <v>172</v>
      </c>
      <c r="G133" s="3">
        <v>404</v>
      </c>
      <c r="H133" s="3">
        <v>4</v>
      </c>
      <c r="I133" s="3">
        <v>4</v>
      </c>
      <c r="J133" s="3">
        <v>1</v>
      </c>
      <c r="K133" s="3">
        <v>15</v>
      </c>
      <c r="L133" s="2" t="s">
        <v>87</v>
      </c>
      <c r="M133" s="2" t="s">
        <v>656</v>
      </c>
      <c r="N133" s="2">
        <v>9.4499999999999993</v>
      </c>
      <c r="O133" s="2">
        <v>11.5</v>
      </c>
      <c r="P133" s="2">
        <v>40.700000000000003</v>
      </c>
      <c r="Q133" s="9">
        <f t="shared" si="9"/>
        <v>9.5036931818181802</v>
      </c>
      <c r="R133" s="7">
        <f t="shared" si="10"/>
        <v>746.67712920127076</v>
      </c>
      <c r="S133" s="10">
        <f t="shared" si="11"/>
        <v>666.08129277544219</v>
      </c>
      <c r="T133" s="7">
        <v>70</v>
      </c>
      <c r="U133" s="7">
        <v>59.5</v>
      </c>
    </row>
    <row r="134" spans="1:22" x14ac:dyDescent="0.25">
      <c r="A134" s="4">
        <v>2023</v>
      </c>
      <c r="B134" s="3" t="s">
        <v>117</v>
      </c>
      <c r="C134" s="3" t="s">
        <v>118</v>
      </c>
      <c r="D134" s="3" t="s">
        <v>119</v>
      </c>
      <c r="E134" s="3" t="s">
        <v>120</v>
      </c>
      <c r="F134" s="3" t="s">
        <v>173</v>
      </c>
      <c r="G134" s="3">
        <v>405</v>
      </c>
      <c r="H134" s="3">
        <v>5</v>
      </c>
      <c r="I134" s="3">
        <v>4</v>
      </c>
      <c r="J134" s="3">
        <v>2</v>
      </c>
      <c r="K134" s="3">
        <v>13</v>
      </c>
      <c r="L134" s="2" t="s">
        <v>87</v>
      </c>
      <c r="M134" s="2" t="s">
        <v>658</v>
      </c>
      <c r="N134" s="2">
        <v>9.58</v>
      </c>
      <c r="O134" s="2">
        <v>11</v>
      </c>
      <c r="P134" s="2">
        <v>38.9</v>
      </c>
      <c r="Q134" s="9">
        <f t="shared" si="9"/>
        <v>9.6888636363636351</v>
      </c>
      <c r="R134" s="7">
        <f t="shared" si="10"/>
        <v>761.22542540231063</v>
      </c>
      <c r="S134" s="10">
        <f t="shared" si="11"/>
        <v>679.05925548823427</v>
      </c>
      <c r="T134" s="7">
        <v>69.599999999999994</v>
      </c>
      <c r="U134" s="7">
        <v>57.4</v>
      </c>
    </row>
    <row r="135" spans="1:22" x14ac:dyDescent="0.25">
      <c r="A135" s="4">
        <v>2023</v>
      </c>
      <c r="B135" s="3" t="s">
        <v>117</v>
      </c>
      <c r="C135" s="3" t="s">
        <v>118</v>
      </c>
      <c r="D135" s="3" t="s">
        <v>119</v>
      </c>
      <c r="E135" s="3" t="s">
        <v>120</v>
      </c>
      <c r="F135" s="3" t="s">
        <v>174</v>
      </c>
      <c r="G135" s="3">
        <v>406</v>
      </c>
      <c r="H135" s="3">
        <v>6</v>
      </c>
      <c r="I135" s="3">
        <v>4</v>
      </c>
      <c r="J135" s="3">
        <v>2</v>
      </c>
      <c r="K135" s="3">
        <v>2</v>
      </c>
      <c r="L135" s="2" t="s">
        <v>100</v>
      </c>
      <c r="M135" s="2" t="s">
        <v>657</v>
      </c>
      <c r="N135" s="2">
        <v>12.53</v>
      </c>
      <c r="O135" s="2">
        <v>13.6</v>
      </c>
      <c r="P135" s="2">
        <v>43.9</v>
      </c>
      <c r="Q135" s="9">
        <f t="shared" si="9"/>
        <v>12.302181818181818</v>
      </c>
      <c r="R135" s="7">
        <f t="shared" si="10"/>
        <v>966.54612340449239</v>
      </c>
      <c r="S135" s="10">
        <f t="shared" si="11"/>
        <v>862.21777288536339</v>
      </c>
      <c r="T135" s="7">
        <v>71</v>
      </c>
      <c r="U135" s="7">
        <v>57</v>
      </c>
    </row>
    <row r="136" spans="1:22" x14ac:dyDescent="0.25">
      <c r="A136" s="4">
        <v>2023</v>
      </c>
      <c r="B136" s="3" t="s">
        <v>117</v>
      </c>
      <c r="C136" s="3" t="s">
        <v>118</v>
      </c>
      <c r="D136" s="3" t="s">
        <v>119</v>
      </c>
      <c r="E136" s="3" t="s">
        <v>120</v>
      </c>
      <c r="F136" s="3" t="s">
        <v>175</v>
      </c>
      <c r="G136" s="3">
        <v>407</v>
      </c>
      <c r="H136" s="3">
        <v>7</v>
      </c>
      <c r="I136" s="3">
        <v>4</v>
      </c>
      <c r="J136" s="3">
        <v>2</v>
      </c>
      <c r="K136" s="3">
        <v>17</v>
      </c>
      <c r="L136" s="2" t="s">
        <v>42</v>
      </c>
      <c r="M136" s="2" t="s">
        <v>657</v>
      </c>
      <c r="N136" s="2">
        <v>11.18</v>
      </c>
      <c r="O136" s="2">
        <v>14.2</v>
      </c>
      <c r="P136" s="2">
        <v>43.5</v>
      </c>
      <c r="Q136" s="9">
        <f t="shared" si="9"/>
        <v>10.900499999999999</v>
      </c>
      <c r="R136" s="7">
        <f t="shared" si="10"/>
        <v>856.42011912060946</v>
      </c>
      <c r="S136" s="10">
        <f t="shared" si="11"/>
        <v>763.97869680696647</v>
      </c>
      <c r="T136" s="7">
        <v>71.599999999999994</v>
      </c>
      <c r="U136" s="7">
        <v>67.099999999999994</v>
      </c>
    </row>
    <row r="137" spans="1:22" x14ac:dyDescent="0.25">
      <c r="A137" s="4">
        <v>2023</v>
      </c>
      <c r="B137" s="3" t="s">
        <v>117</v>
      </c>
      <c r="C137" s="3" t="s">
        <v>118</v>
      </c>
      <c r="D137" s="3" t="s">
        <v>119</v>
      </c>
      <c r="E137" s="3" t="s">
        <v>120</v>
      </c>
      <c r="F137" s="3" t="s">
        <v>176</v>
      </c>
      <c r="G137" s="3">
        <v>408</v>
      </c>
      <c r="H137" s="3">
        <v>8</v>
      </c>
      <c r="I137" s="3">
        <v>4</v>
      </c>
      <c r="J137" s="3">
        <v>2</v>
      </c>
      <c r="K137" s="3">
        <v>6</v>
      </c>
      <c r="L137" s="2" t="s">
        <v>56</v>
      </c>
      <c r="M137" s="2" t="s">
        <v>656</v>
      </c>
      <c r="N137" s="2">
        <v>10.08</v>
      </c>
      <c r="O137" s="2">
        <v>13</v>
      </c>
      <c r="P137" s="2">
        <v>44.7</v>
      </c>
      <c r="Q137" s="9">
        <f t="shared" si="9"/>
        <v>9.9654545454545467</v>
      </c>
      <c r="R137" s="7">
        <f t="shared" si="10"/>
        <v>782.95635694777332</v>
      </c>
      <c r="S137" s="10">
        <f t="shared" si="11"/>
        <v>698.44456462780852</v>
      </c>
      <c r="T137" s="7">
        <v>71.3</v>
      </c>
      <c r="U137" s="7">
        <v>63.5</v>
      </c>
      <c r="V137" s="1"/>
    </row>
    <row r="138" spans="1:22" x14ac:dyDescent="0.25">
      <c r="A138" s="4">
        <v>2023</v>
      </c>
      <c r="B138" s="3" t="s">
        <v>117</v>
      </c>
      <c r="C138" s="3" t="s">
        <v>118</v>
      </c>
      <c r="D138" s="3" t="s">
        <v>119</v>
      </c>
      <c r="E138" s="3" t="s">
        <v>120</v>
      </c>
      <c r="F138" s="3" t="s">
        <v>177</v>
      </c>
      <c r="G138" s="3">
        <v>409</v>
      </c>
      <c r="H138" s="3">
        <v>9</v>
      </c>
      <c r="I138" s="3">
        <v>4</v>
      </c>
      <c r="J138" s="3">
        <v>3</v>
      </c>
      <c r="K138" s="3">
        <v>13</v>
      </c>
      <c r="L138" s="2" t="s">
        <v>87</v>
      </c>
      <c r="M138" s="2" t="s">
        <v>658</v>
      </c>
      <c r="N138" s="2">
        <v>10.24</v>
      </c>
      <c r="O138" s="2">
        <v>10.9</v>
      </c>
      <c r="P138" s="2">
        <v>39.9</v>
      </c>
      <c r="Q138" s="9">
        <f t="shared" si="9"/>
        <v>10.367999999999999</v>
      </c>
      <c r="R138" s="7">
        <f t="shared" si="10"/>
        <v>814.58316545502305</v>
      </c>
      <c r="S138" s="10">
        <f t="shared" si="11"/>
        <v>726.65759630242917</v>
      </c>
      <c r="T138" s="7">
        <v>70.400000000000006</v>
      </c>
      <c r="U138" s="7">
        <v>59.7</v>
      </c>
    </row>
    <row r="139" spans="1:22" x14ac:dyDescent="0.25">
      <c r="A139" s="4">
        <v>2023</v>
      </c>
      <c r="B139" s="3" t="s">
        <v>117</v>
      </c>
      <c r="C139" s="3" t="s">
        <v>118</v>
      </c>
      <c r="D139" s="3" t="s">
        <v>119</v>
      </c>
      <c r="E139" s="3" t="s">
        <v>120</v>
      </c>
      <c r="F139" s="3" t="s">
        <v>178</v>
      </c>
      <c r="G139" s="3">
        <v>410</v>
      </c>
      <c r="H139" s="3">
        <v>10</v>
      </c>
      <c r="I139" s="3">
        <v>4</v>
      </c>
      <c r="J139" s="3">
        <v>3</v>
      </c>
      <c r="K139" s="3">
        <v>9</v>
      </c>
      <c r="L139" s="2" t="s">
        <v>69</v>
      </c>
      <c r="M139" s="2" t="s">
        <v>656</v>
      </c>
      <c r="N139" s="2">
        <v>13.41</v>
      </c>
      <c r="O139" s="2">
        <v>13.4</v>
      </c>
      <c r="P139" s="2">
        <v>45.1</v>
      </c>
      <c r="Q139" s="9">
        <f t="shared" si="9"/>
        <v>13.196659090909092</v>
      </c>
      <c r="R139" s="7">
        <f t="shared" si="10"/>
        <v>1036.8225632430108</v>
      </c>
      <c r="S139" s="10">
        <f t="shared" si="11"/>
        <v>924.90862019893916</v>
      </c>
      <c r="T139" s="7">
        <v>70.099999999999994</v>
      </c>
      <c r="U139" s="7">
        <v>61.6</v>
      </c>
    </row>
    <row r="140" spans="1:22" x14ac:dyDescent="0.25">
      <c r="A140" s="4">
        <v>2023</v>
      </c>
      <c r="B140" s="3" t="s">
        <v>117</v>
      </c>
      <c r="C140" s="3" t="s">
        <v>118</v>
      </c>
      <c r="D140" s="3" t="s">
        <v>119</v>
      </c>
      <c r="E140" s="3" t="s">
        <v>120</v>
      </c>
      <c r="F140" s="3" t="s">
        <v>179</v>
      </c>
      <c r="G140" s="3">
        <v>411</v>
      </c>
      <c r="H140" s="3">
        <v>11</v>
      </c>
      <c r="I140" s="3">
        <v>4</v>
      </c>
      <c r="J140" s="3">
        <v>3</v>
      </c>
      <c r="K140" s="3">
        <v>6</v>
      </c>
      <c r="L140" s="2" t="s">
        <v>56</v>
      </c>
      <c r="M140" s="2" t="s">
        <v>656</v>
      </c>
      <c r="N140" s="2">
        <v>10.32</v>
      </c>
      <c r="O140" s="2">
        <v>12.3</v>
      </c>
      <c r="P140" s="2">
        <v>44.9</v>
      </c>
      <c r="Q140" s="9">
        <f t="shared" si="9"/>
        <v>10.284818181818181</v>
      </c>
      <c r="R140" s="7">
        <f t="shared" si="10"/>
        <v>808.04781545860624</v>
      </c>
      <c r="S140" s="10">
        <f t="shared" si="11"/>
        <v>720.82766767047838</v>
      </c>
      <c r="T140" s="7">
        <v>71</v>
      </c>
      <c r="U140" s="7">
        <v>61.3</v>
      </c>
    </row>
    <row r="141" spans="1:22" x14ac:dyDescent="0.25">
      <c r="A141" s="4">
        <v>2023</v>
      </c>
      <c r="B141" s="3" t="s">
        <v>117</v>
      </c>
      <c r="C141" s="3" t="s">
        <v>118</v>
      </c>
      <c r="D141" s="3" t="s">
        <v>119</v>
      </c>
      <c r="E141" s="3" t="s">
        <v>120</v>
      </c>
      <c r="F141" s="3" t="s">
        <v>180</v>
      </c>
      <c r="G141" s="3">
        <v>412</v>
      </c>
      <c r="H141" s="3">
        <v>12</v>
      </c>
      <c r="I141" s="3">
        <v>4</v>
      </c>
      <c r="J141" s="3">
        <v>3</v>
      </c>
      <c r="K141" s="3">
        <v>16</v>
      </c>
      <c r="L141" s="2" t="s">
        <v>42</v>
      </c>
      <c r="M141" s="2" t="s">
        <v>658</v>
      </c>
      <c r="N141" s="2">
        <v>9.73</v>
      </c>
      <c r="O141" s="2">
        <v>13.5</v>
      </c>
      <c r="P141" s="2">
        <v>44.1</v>
      </c>
      <c r="Q141" s="9">
        <f t="shared" si="9"/>
        <v>9.5641477272727293</v>
      </c>
      <c r="R141" s="7">
        <f t="shared" si="10"/>
        <v>751.42686444456842</v>
      </c>
      <c r="S141" s="10">
        <f t="shared" si="11"/>
        <v>670.31834473199683</v>
      </c>
      <c r="T141" s="7">
        <v>71.7</v>
      </c>
      <c r="U141" s="7">
        <v>67</v>
      </c>
      <c r="V141" s="1"/>
    </row>
    <row r="142" spans="1:22" x14ac:dyDescent="0.25">
      <c r="A142" s="4">
        <v>2023</v>
      </c>
      <c r="B142" s="3" t="s">
        <v>117</v>
      </c>
      <c r="C142" s="3" t="s">
        <v>118</v>
      </c>
      <c r="D142" s="3" t="s">
        <v>119</v>
      </c>
      <c r="E142" s="3" t="s">
        <v>120</v>
      </c>
      <c r="F142" s="3" t="s">
        <v>181</v>
      </c>
      <c r="G142" s="3">
        <v>413</v>
      </c>
      <c r="H142" s="3">
        <v>13</v>
      </c>
      <c r="I142" s="3">
        <v>4</v>
      </c>
      <c r="J142" s="3">
        <v>4</v>
      </c>
      <c r="K142" s="3">
        <v>1</v>
      </c>
      <c r="L142" s="2" t="s">
        <v>100</v>
      </c>
      <c r="M142" s="2" t="s">
        <v>658</v>
      </c>
      <c r="N142" s="2">
        <v>12.46</v>
      </c>
      <c r="O142" s="2">
        <v>12.6</v>
      </c>
      <c r="P142" s="2">
        <v>44.8</v>
      </c>
      <c r="Q142" s="9">
        <f t="shared" si="9"/>
        <v>12.375045454545456</v>
      </c>
      <c r="R142" s="7">
        <f t="shared" si="10"/>
        <v>972.27080430299316</v>
      </c>
      <c r="S142" s="10">
        <f t="shared" si="11"/>
        <v>867.32453550668436</v>
      </c>
      <c r="T142" s="7">
        <v>71.2</v>
      </c>
      <c r="U142" s="7">
        <v>56.8</v>
      </c>
    </row>
    <row r="143" spans="1:22" x14ac:dyDescent="0.25">
      <c r="A143" s="4">
        <v>2023</v>
      </c>
      <c r="B143" s="3" t="s">
        <v>117</v>
      </c>
      <c r="C143" s="3" t="s">
        <v>118</v>
      </c>
      <c r="D143" s="3" t="s">
        <v>119</v>
      </c>
      <c r="E143" s="3" t="s">
        <v>120</v>
      </c>
      <c r="F143" s="3" t="s">
        <v>182</v>
      </c>
      <c r="G143" s="3">
        <v>414</v>
      </c>
      <c r="H143" s="3">
        <v>14</v>
      </c>
      <c r="I143" s="3">
        <v>4</v>
      </c>
      <c r="J143" s="3">
        <v>4</v>
      </c>
      <c r="K143" s="3">
        <v>8</v>
      </c>
      <c r="L143" s="2" t="s">
        <v>69</v>
      </c>
      <c r="M143" s="2" t="s">
        <v>657</v>
      </c>
      <c r="N143" s="2">
        <v>13.58</v>
      </c>
      <c r="O143" s="2">
        <v>13.2</v>
      </c>
      <c r="P143" s="2">
        <v>45.7</v>
      </c>
      <c r="Q143" s="9">
        <f t="shared" si="9"/>
        <v>13.394818181818183</v>
      </c>
      <c r="R143" s="7">
        <f t="shared" si="10"/>
        <v>1052.3913382754586</v>
      </c>
      <c r="S143" s="10">
        <f t="shared" si="11"/>
        <v>938.79691193172039</v>
      </c>
      <c r="T143" s="7">
        <v>70.2</v>
      </c>
      <c r="U143" s="7">
        <v>61.8</v>
      </c>
    </row>
    <row r="144" spans="1:22" x14ac:dyDescent="0.25">
      <c r="A144" s="4">
        <v>2023</v>
      </c>
      <c r="B144" s="3" t="s">
        <v>117</v>
      </c>
      <c r="C144" s="3" t="s">
        <v>118</v>
      </c>
      <c r="D144" s="3" t="s">
        <v>119</v>
      </c>
      <c r="E144" s="3" t="s">
        <v>120</v>
      </c>
      <c r="F144" s="3" t="s">
        <v>183</v>
      </c>
      <c r="G144" s="3">
        <v>415</v>
      </c>
      <c r="H144" s="3">
        <v>15</v>
      </c>
      <c r="I144" s="3">
        <v>4</v>
      </c>
      <c r="J144" s="3">
        <v>4</v>
      </c>
      <c r="K144" s="3">
        <v>9</v>
      </c>
      <c r="L144" s="2" t="s">
        <v>69</v>
      </c>
      <c r="M144" s="2" t="s">
        <v>656</v>
      </c>
      <c r="N144" s="2">
        <v>14.27</v>
      </c>
      <c r="O144" s="2">
        <v>13.1</v>
      </c>
      <c r="P144" s="2">
        <v>45.2</v>
      </c>
      <c r="Q144" s="9">
        <f t="shared" si="9"/>
        <v>14.091624999999999</v>
      </c>
      <c r="R144" s="7">
        <f t="shared" si="10"/>
        <v>1107.1373937987212</v>
      </c>
      <c r="S144" s="10">
        <f t="shared" si="11"/>
        <v>987.6337143610358</v>
      </c>
      <c r="T144" s="7">
        <v>70.7</v>
      </c>
      <c r="U144" s="7">
        <v>62.1</v>
      </c>
    </row>
    <row r="145" spans="1:22" x14ac:dyDescent="0.25">
      <c r="A145" s="4">
        <v>2023</v>
      </c>
      <c r="B145" s="3" t="s">
        <v>117</v>
      </c>
      <c r="C145" s="3" t="s">
        <v>118</v>
      </c>
      <c r="D145" s="3" t="s">
        <v>119</v>
      </c>
      <c r="E145" s="3" t="s">
        <v>120</v>
      </c>
      <c r="F145" s="3" t="s">
        <v>184</v>
      </c>
      <c r="G145" s="3">
        <v>416</v>
      </c>
      <c r="H145" s="3">
        <v>16</v>
      </c>
      <c r="I145" s="3">
        <v>4</v>
      </c>
      <c r="J145" s="3">
        <v>4</v>
      </c>
      <c r="K145" s="3">
        <v>17</v>
      </c>
      <c r="L145" s="2" t="s">
        <v>42</v>
      </c>
      <c r="M145" s="2" t="s">
        <v>657</v>
      </c>
      <c r="N145" s="2">
        <v>11.39</v>
      </c>
      <c r="O145" s="2">
        <v>12.5</v>
      </c>
      <c r="P145" s="2">
        <v>44.8</v>
      </c>
      <c r="Q145" s="9">
        <f t="shared" si="9"/>
        <v>11.325284090909092</v>
      </c>
      <c r="R145" s="7">
        <f t="shared" si="10"/>
        <v>889.79415166378669</v>
      </c>
      <c r="S145" s="10">
        <f t="shared" si="11"/>
        <v>793.75035830846275</v>
      </c>
      <c r="T145" s="7">
        <v>71.900000000000006</v>
      </c>
      <c r="U145" s="7">
        <v>67.7</v>
      </c>
    </row>
    <row r="146" spans="1:22" x14ac:dyDescent="0.25">
      <c r="A146" s="4">
        <v>2023</v>
      </c>
      <c r="B146" s="3" t="s">
        <v>117</v>
      </c>
      <c r="C146" s="3" t="s">
        <v>118</v>
      </c>
      <c r="D146" s="3" t="s">
        <v>119</v>
      </c>
      <c r="E146" s="3" t="s">
        <v>120</v>
      </c>
      <c r="F146" s="3" t="s">
        <v>185</v>
      </c>
      <c r="G146" s="3">
        <v>501</v>
      </c>
      <c r="H146" s="3">
        <v>1</v>
      </c>
      <c r="I146" s="3">
        <v>5</v>
      </c>
      <c r="J146" s="3">
        <v>1</v>
      </c>
      <c r="K146" s="3">
        <v>7</v>
      </c>
      <c r="L146" s="2" t="s">
        <v>69</v>
      </c>
      <c r="M146" s="2" t="s">
        <v>658</v>
      </c>
      <c r="N146" s="2">
        <v>12.49</v>
      </c>
      <c r="O146" s="2">
        <v>12.8</v>
      </c>
      <c r="P146" s="2">
        <v>44.6</v>
      </c>
      <c r="Q146" s="9">
        <f t="shared" ref="Q146:Q162" si="12">N146*(1-O146/100)/(1-0.12)</f>
        <v>12.376454545454546</v>
      </c>
      <c r="R146" s="7">
        <f t="shared" ref="R146:R162" si="13">((10000*Q146*12%/2.205))/((4.66*16)/10.764)</f>
        <v>972.38151241768651</v>
      </c>
      <c r="S146" s="10">
        <f t="shared" ref="S146:S162" si="14">R146/1.121</f>
        <v>867.42329386055894</v>
      </c>
      <c r="T146" s="7">
        <v>70.099999999999994</v>
      </c>
      <c r="U146" s="7">
        <v>59.1</v>
      </c>
    </row>
    <row r="147" spans="1:22" x14ac:dyDescent="0.25">
      <c r="A147" s="4">
        <v>2023</v>
      </c>
      <c r="B147" s="3" t="s">
        <v>117</v>
      </c>
      <c r="C147" s="3" t="s">
        <v>118</v>
      </c>
      <c r="D147" s="3" t="s">
        <v>119</v>
      </c>
      <c r="E147" s="3" t="s">
        <v>120</v>
      </c>
      <c r="F147" s="3" t="s">
        <v>186</v>
      </c>
      <c r="G147" s="3">
        <v>502</v>
      </c>
      <c r="H147" s="3">
        <v>2</v>
      </c>
      <c r="I147" s="3">
        <v>5</v>
      </c>
      <c r="J147" s="3">
        <v>1</v>
      </c>
      <c r="K147" s="3">
        <v>13</v>
      </c>
      <c r="L147" s="2" t="s">
        <v>87</v>
      </c>
      <c r="M147" s="2" t="s">
        <v>658</v>
      </c>
      <c r="N147" s="2">
        <v>9.68</v>
      </c>
      <c r="O147" s="2">
        <v>9.99</v>
      </c>
      <c r="P147" s="2">
        <v>39.1</v>
      </c>
      <c r="Q147" s="9">
        <f t="shared" si="12"/>
        <v>9.9010999999999996</v>
      </c>
      <c r="R147" s="7">
        <f t="shared" si="13"/>
        <v>777.90021021284042</v>
      </c>
      <c r="S147" s="10">
        <f t="shared" si="14"/>
        <v>693.93417503375599</v>
      </c>
      <c r="T147" s="7">
        <v>69.900000000000006</v>
      </c>
      <c r="U147" s="7">
        <v>60</v>
      </c>
    </row>
    <row r="148" spans="1:22" x14ac:dyDescent="0.25">
      <c r="A148" s="4">
        <v>2023</v>
      </c>
      <c r="B148" s="3" t="s">
        <v>117</v>
      </c>
      <c r="C148" s="3" t="s">
        <v>118</v>
      </c>
      <c r="D148" s="3" t="s">
        <v>119</v>
      </c>
      <c r="E148" s="3" t="s">
        <v>120</v>
      </c>
      <c r="F148" s="3" t="s">
        <v>187</v>
      </c>
      <c r="G148" s="3">
        <v>503</v>
      </c>
      <c r="H148" s="3">
        <v>3</v>
      </c>
      <c r="I148" s="3">
        <v>5</v>
      </c>
      <c r="J148" s="3">
        <v>1</v>
      </c>
      <c r="K148" s="3">
        <v>5</v>
      </c>
      <c r="L148" s="2" t="s">
        <v>56</v>
      </c>
      <c r="M148" s="2" t="s">
        <v>657</v>
      </c>
      <c r="N148" s="2">
        <v>7.93</v>
      </c>
      <c r="O148" s="2">
        <v>14.1</v>
      </c>
      <c r="P148" s="2">
        <v>48.3</v>
      </c>
      <c r="Q148" s="9">
        <f t="shared" si="12"/>
        <v>7.7407613636363637</v>
      </c>
      <c r="R148" s="7">
        <f t="shared" si="13"/>
        <v>608.16877841655582</v>
      </c>
      <c r="S148" s="10">
        <f t="shared" si="14"/>
        <v>542.52344194161981</v>
      </c>
      <c r="T148" s="7">
        <v>71.2</v>
      </c>
      <c r="U148" s="7">
        <v>64.599999999999994</v>
      </c>
    </row>
    <row r="149" spans="1:22" x14ac:dyDescent="0.25">
      <c r="A149" s="4">
        <v>2023</v>
      </c>
      <c r="B149" s="3" t="s">
        <v>117</v>
      </c>
      <c r="C149" s="3" t="s">
        <v>118</v>
      </c>
      <c r="D149" s="3" t="s">
        <v>119</v>
      </c>
      <c r="E149" s="3" t="s">
        <v>120</v>
      </c>
      <c r="F149" s="3" t="s">
        <v>188</v>
      </c>
      <c r="G149" s="3">
        <v>504</v>
      </c>
      <c r="H149" s="3">
        <v>4</v>
      </c>
      <c r="I149" s="3">
        <v>5</v>
      </c>
      <c r="J149" s="3">
        <v>1</v>
      </c>
      <c r="K149" s="3">
        <v>17</v>
      </c>
      <c r="L149" s="2" t="s">
        <v>42</v>
      </c>
      <c r="M149" s="2" t="s">
        <v>657</v>
      </c>
      <c r="N149" s="2">
        <v>9.68</v>
      </c>
      <c r="O149" s="2">
        <v>15</v>
      </c>
      <c r="P149" s="2">
        <v>45.1</v>
      </c>
      <c r="Q149" s="9">
        <f t="shared" si="12"/>
        <v>9.35</v>
      </c>
      <c r="R149" s="7">
        <f t="shared" si="13"/>
        <v>734.60190943330122</v>
      </c>
      <c r="S149" s="10">
        <f t="shared" si="14"/>
        <v>655.30946425807429</v>
      </c>
      <c r="T149" s="7">
        <v>71.2</v>
      </c>
      <c r="U149" s="7">
        <v>66.7</v>
      </c>
    </row>
    <row r="150" spans="1:22" x14ac:dyDescent="0.25">
      <c r="A150" s="4">
        <v>2023</v>
      </c>
      <c r="B150" s="3" t="s">
        <v>117</v>
      </c>
      <c r="C150" s="3" t="s">
        <v>118</v>
      </c>
      <c r="D150" s="3" t="s">
        <v>119</v>
      </c>
      <c r="E150" s="3" t="s">
        <v>120</v>
      </c>
      <c r="F150" s="3" t="s">
        <v>189</v>
      </c>
      <c r="G150" s="3">
        <v>505</v>
      </c>
      <c r="H150" s="3">
        <v>5</v>
      </c>
      <c r="I150" s="3">
        <v>5</v>
      </c>
      <c r="J150" s="3">
        <v>2</v>
      </c>
      <c r="K150" s="3">
        <v>15</v>
      </c>
      <c r="L150" s="2" t="s">
        <v>87</v>
      </c>
      <c r="M150" s="2" t="s">
        <v>656</v>
      </c>
      <c r="N150" s="2">
        <v>8.56</v>
      </c>
      <c r="O150" s="2">
        <v>11</v>
      </c>
      <c r="P150" s="2">
        <v>40.1</v>
      </c>
      <c r="Q150" s="9">
        <f t="shared" si="12"/>
        <v>8.6572727272727281</v>
      </c>
      <c r="R150" s="7">
        <f t="shared" si="13"/>
        <v>680.17637175822335</v>
      </c>
      <c r="S150" s="10">
        <f t="shared" si="14"/>
        <v>606.75858319199233</v>
      </c>
      <c r="T150" s="7">
        <v>69.8</v>
      </c>
      <c r="U150" s="7">
        <v>58.9</v>
      </c>
    </row>
    <row r="151" spans="1:22" x14ac:dyDescent="0.25">
      <c r="A151" s="4">
        <v>2023</v>
      </c>
      <c r="B151" s="3" t="s">
        <v>117</v>
      </c>
      <c r="C151" s="3" t="s">
        <v>118</v>
      </c>
      <c r="D151" s="3" t="s">
        <v>119</v>
      </c>
      <c r="E151" s="3" t="s">
        <v>120</v>
      </c>
      <c r="F151" s="3" t="s">
        <v>190</v>
      </c>
      <c r="G151" s="3">
        <v>506</v>
      </c>
      <c r="H151" s="3">
        <v>6</v>
      </c>
      <c r="I151" s="3">
        <v>5</v>
      </c>
      <c r="J151" s="3">
        <v>2</v>
      </c>
      <c r="K151" s="3">
        <v>11</v>
      </c>
      <c r="L151" s="2" t="s">
        <v>27</v>
      </c>
      <c r="M151" s="2" t="s">
        <v>657</v>
      </c>
      <c r="N151" s="2">
        <v>10.27</v>
      </c>
      <c r="O151" s="2">
        <v>17.7</v>
      </c>
      <c r="P151" s="2">
        <v>46.2</v>
      </c>
      <c r="Q151" s="9">
        <f t="shared" si="12"/>
        <v>9.6047840909090905</v>
      </c>
      <c r="R151" s="7">
        <f t="shared" si="13"/>
        <v>754.61954362314566</v>
      </c>
      <c r="S151" s="10">
        <f t="shared" si="14"/>
        <v>673.16640822760542</v>
      </c>
      <c r="T151" s="7">
        <v>73.400000000000006</v>
      </c>
      <c r="U151" s="7">
        <v>67</v>
      </c>
    </row>
    <row r="152" spans="1:22" x14ac:dyDescent="0.25">
      <c r="A152" s="4">
        <v>2023</v>
      </c>
      <c r="B152" s="3" t="s">
        <v>117</v>
      </c>
      <c r="C152" s="3" t="s">
        <v>118</v>
      </c>
      <c r="D152" s="3" t="s">
        <v>119</v>
      </c>
      <c r="E152" s="3" t="s">
        <v>120</v>
      </c>
      <c r="F152" s="3" t="s">
        <v>191</v>
      </c>
      <c r="G152" s="3">
        <v>507</v>
      </c>
      <c r="H152" s="3">
        <v>7</v>
      </c>
      <c r="I152" s="3">
        <v>5</v>
      </c>
      <c r="J152" s="3">
        <v>2</v>
      </c>
      <c r="K152" s="3">
        <v>7</v>
      </c>
      <c r="L152" s="2" t="s">
        <v>69</v>
      </c>
      <c r="M152" s="2" t="s">
        <v>658</v>
      </c>
      <c r="N152" s="2">
        <v>12.54</v>
      </c>
      <c r="O152" s="2">
        <v>13.6</v>
      </c>
      <c r="P152" s="2">
        <v>45.5</v>
      </c>
      <c r="Q152" s="9">
        <f t="shared" si="12"/>
        <v>12.311999999999999</v>
      </c>
      <c r="R152" s="7">
        <f t="shared" si="13"/>
        <v>967.31750897784002</v>
      </c>
      <c r="S152" s="10">
        <f t="shared" si="14"/>
        <v>862.90589560913475</v>
      </c>
      <c r="T152" s="7">
        <v>70.400000000000006</v>
      </c>
      <c r="U152" s="7">
        <v>61.1</v>
      </c>
    </row>
    <row r="153" spans="1:22" x14ac:dyDescent="0.25">
      <c r="A153" s="4">
        <v>2023</v>
      </c>
      <c r="B153" s="3" t="s">
        <v>117</v>
      </c>
      <c r="C153" s="3" t="s">
        <v>118</v>
      </c>
      <c r="D153" s="3" t="s">
        <v>119</v>
      </c>
      <c r="E153" s="3" t="s">
        <v>120</v>
      </c>
      <c r="F153" s="3" t="s">
        <v>192</v>
      </c>
      <c r="G153" s="3">
        <v>508</v>
      </c>
      <c r="H153" s="3">
        <v>8</v>
      </c>
      <c r="I153" s="3">
        <v>5</v>
      </c>
      <c r="J153" s="3">
        <v>2</v>
      </c>
      <c r="K153" s="3">
        <v>18</v>
      </c>
      <c r="L153" s="2" t="s">
        <v>42</v>
      </c>
      <c r="M153" s="2" t="s">
        <v>656</v>
      </c>
      <c r="N153" s="2">
        <v>9.84</v>
      </c>
      <c r="O153" s="2">
        <v>14.3</v>
      </c>
      <c r="P153" s="2">
        <v>45.2</v>
      </c>
      <c r="Q153" s="9">
        <f t="shared" si="12"/>
        <v>9.5828181818181815</v>
      </c>
      <c r="R153" s="7">
        <f t="shared" si="13"/>
        <v>752.89374696425568</v>
      </c>
      <c r="S153" s="10">
        <f t="shared" si="14"/>
        <v>671.62689292083473</v>
      </c>
      <c r="T153" s="7">
        <v>71.5</v>
      </c>
      <c r="U153" s="7">
        <v>66.900000000000006</v>
      </c>
      <c r="V153" s="1"/>
    </row>
    <row r="154" spans="1:22" x14ac:dyDescent="0.25">
      <c r="A154" s="4">
        <v>2023</v>
      </c>
      <c r="B154" s="3" t="s">
        <v>117</v>
      </c>
      <c r="C154" s="3" t="s">
        <v>118</v>
      </c>
      <c r="D154" s="3" t="s">
        <v>119</v>
      </c>
      <c r="E154" s="3" t="s">
        <v>120</v>
      </c>
      <c r="F154" s="3" t="s">
        <v>193</v>
      </c>
      <c r="G154" s="3">
        <v>509</v>
      </c>
      <c r="H154" s="3">
        <v>9</v>
      </c>
      <c r="I154" s="3">
        <v>5</v>
      </c>
      <c r="J154" s="3">
        <v>3</v>
      </c>
      <c r="K154" s="3">
        <v>17</v>
      </c>
      <c r="L154" s="2" t="s">
        <v>42</v>
      </c>
      <c r="M154" s="2" t="s">
        <v>657</v>
      </c>
      <c r="N154" s="2">
        <v>9.66</v>
      </c>
      <c r="O154" s="2">
        <v>13.7</v>
      </c>
      <c r="P154" s="2">
        <v>42.9</v>
      </c>
      <c r="Q154" s="9">
        <f t="shared" si="12"/>
        <v>9.4733863636363633</v>
      </c>
      <c r="R154" s="7">
        <f t="shared" si="13"/>
        <v>744.29601192798611</v>
      </c>
      <c r="S154" s="10">
        <f t="shared" si="14"/>
        <v>663.95719172880115</v>
      </c>
      <c r="T154" s="7">
        <v>71.5</v>
      </c>
      <c r="U154" s="7">
        <v>66.3</v>
      </c>
    </row>
    <row r="155" spans="1:22" x14ac:dyDescent="0.25">
      <c r="A155" s="4">
        <v>2023</v>
      </c>
      <c r="B155" s="3" t="s">
        <v>117</v>
      </c>
      <c r="C155" s="3" t="s">
        <v>118</v>
      </c>
      <c r="D155" s="3" t="s">
        <v>119</v>
      </c>
      <c r="E155" s="3" t="s">
        <v>120</v>
      </c>
      <c r="F155" s="3" t="s">
        <v>194</v>
      </c>
      <c r="G155" s="3">
        <v>510</v>
      </c>
      <c r="H155" s="3">
        <v>10</v>
      </c>
      <c r="I155" s="3">
        <v>5</v>
      </c>
      <c r="J155" s="3">
        <v>3</v>
      </c>
      <c r="K155" s="3">
        <v>14</v>
      </c>
      <c r="L155" s="2" t="s">
        <v>87</v>
      </c>
      <c r="M155" s="2" t="s">
        <v>657</v>
      </c>
      <c r="N155" s="2">
        <v>9.08</v>
      </c>
      <c r="O155" s="2">
        <v>10.8</v>
      </c>
      <c r="P155" s="2">
        <v>40.299999999999997</v>
      </c>
      <c r="Q155" s="9">
        <f t="shared" si="12"/>
        <v>9.2038181818181819</v>
      </c>
      <c r="R155" s="7">
        <f t="shared" si="13"/>
        <v>723.11683534123745</v>
      </c>
      <c r="S155" s="10">
        <f t="shared" si="14"/>
        <v>645.06408148192463</v>
      </c>
      <c r="T155" s="7">
        <v>70.8</v>
      </c>
      <c r="U155" s="7">
        <v>60.7</v>
      </c>
    </row>
    <row r="156" spans="1:22" x14ac:dyDescent="0.25">
      <c r="A156" s="4">
        <v>2023</v>
      </c>
      <c r="B156" s="3" t="s">
        <v>117</v>
      </c>
      <c r="C156" s="3" t="s">
        <v>118</v>
      </c>
      <c r="D156" s="3" t="s">
        <v>119</v>
      </c>
      <c r="E156" s="3" t="s">
        <v>120</v>
      </c>
      <c r="F156" s="3" t="s">
        <v>195</v>
      </c>
      <c r="G156" s="3">
        <v>511</v>
      </c>
      <c r="H156" s="3">
        <v>11</v>
      </c>
      <c r="I156" s="3">
        <v>5</v>
      </c>
      <c r="J156" s="3">
        <v>3</v>
      </c>
      <c r="K156" s="3">
        <v>1</v>
      </c>
      <c r="L156" s="2" t="s">
        <v>100</v>
      </c>
      <c r="M156" s="2" t="s">
        <v>658</v>
      </c>
      <c r="N156" s="2">
        <v>11.16</v>
      </c>
      <c r="O156" s="2">
        <v>12.4</v>
      </c>
      <c r="P156" s="2">
        <v>43.7</v>
      </c>
      <c r="Q156" s="9">
        <f t="shared" si="12"/>
        <v>11.109272727272728</v>
      </c>
      <c r="R156" s="7">
        <f t="shared" si="13"/>
        <v>872.82277624276401</v>
      </c>
      <c r="S156" s="10">
        <f t="shared" si="14"/>
        <v>778.6108619471579</v>
      </c>
      <c r="T156" s="7">
        <v>70.900000000000006</v>
      </c>
      <c r="U156" s="7">
        <v>57.6</v>
      </c>
    </row>
    <row r="157" spans="1:22" x14ac:dyDescent="0.25">
      <c r="A157" s="4">
        <v>2023</v>
      </c>
      <c r="B157" s="3" t="s">
        <v>117</v>
      </c>
      <c r="C157" s="3" t="s">
        <v>118</v>
      </c>
      <c r="D157" s="3" t="s">
        <v>119</v>
      </c>
      <c r="E157" s="3" t="s">
        <v>120</v>
      </c>
      <c r="F157" s="3" t="s">
        <v>196</v>
      </c>
      <c r="G157" s="3">
        <v>512</v>
      </c>
      <c r="H157" s="3">
        <v>12</v>
      </c>
      <c r="I157" s="3">
        <v>5</v>
      </c>
      <c r="J157" s="3">
        <v>3</v>
      </c>
      <c r="K157" s="3">
        <v>10</v>
      </c>
      <c r="L157" s="2" t="s">
        <v>27</v>
      </c>
      <c r="M157" s="2" t="s">
        <v>658</v>
      </c>
      <c r="N157" s="2">
        <v>10.3</v>
      </c>
      <c r="O157" s="2">
        <v>16</v>
      </c>
      <c r="P157" s="2">
        <v>46</v>
      </c>
      <c r="Q157" s="9">
        <f t="shared" si="12"/>
        <v>9.8318181818181838</v>
      </c>
      <c r="R157" s="7">
        <f t="shared" si="13"/>
        <v>772.45694219943164</v>
      </c>
      <c r="S157" s="10">
        <f t="shared" si="14"/>
        <v>689.07844977647778</v>
      </c>
      <c r="T157" s="7">
        <v>73.5</v>
      </c>
      <c r="U157" s="7">
        <v>66.599999999999994</v>
      </c>
    </row>
    <row r="158" spans="1:22" x14ac:dyDescent="0.25">
      <c r="A158" s="4">
        <v>2023</v>
      </c>
      <c r="B158" s="3" t="s">
        <v>117</v>
      </c>
      <c r="C158" s="3" t="s">
        <v>118</v>
      </c>
      <c r="D158" s="3" t="s">
        <v>119</v>
      </c>
      <c r="E158" s="3" t="s">
        <v>120</v>
      </c>
      <c r="F158" s="3" t="s">
        <v>197</v>
      </c>
      <c r="G158" s="3">
        <v>513</v>
      </c>
      <c r="H158" s="3">
        <v>13</v>
      </c>
      <c r="I158" s="3">
        <v>5</v>
      </c>
      <c r="J158" s="3">
        <v>4</v>
      </c>
      <c r="K158" s="3">
        <v>16</v>
      </c>
      <c r="L158" s="2" t="s">
        <v>42</v>
      </c>
      <c r="M158" s="2" t="s">
        <v>658</v>
      </c>
      <c r="N158" s="2">
        <v>9.5299999999999994</v>
      </c>
      <c r="O158" s="2">
        <v>13.4</v>
      </c>
      <c r="P158" s="2">
        <v>43.9</v>
      </c>
      <c r="Q158" s="9">
        <f t="shared" si="12"/>
        <v>9.3783863636363627</v>
      </c>
      <c r="R158" s="7">
        <f t="shared" si="13"/>
        <v>736.8321422599472</v>
      </c>
      <c r="S158" s="10">
        <f t="shared" si="14"/>
        <v>657.29896722564422</v>
      </c>
      <c r="T158" s="7">
        <v>70.900000000000006</v>
      </c>
      <c r="U158" s="7">
        <v>64.7</v>
      </c>
    </row>
    <row r="159" spans="1:22" x14ac:dyDescent="0.25">
      <c r="A159" s="4">
        <v>2023</v>
      </c>
      <c r="B159" s="3" t="s">
        <v>117</v>
      </c>
      <c r="C159" s="3" t="s">
        <v>118</v>
      </c>
      <c r="D159" s="3" t="s">
        <v>119</v>
      </c>
      <c r="E159" s="3" t="s">
        <v>120</v>
      </c>
      <c r="F159" s="3" t="s">
        <v>198</v>
      </c>
      <c r="G159" s="3">
        <v>514</v>
      </c>
      <c r="H159" s="3">
        <v>14</v>
      </c>
      <c r="I159" s="3">
        <v>5</v>
      </c>
      <c r="J159" s="3">
        <v>4</v>
      </c>
      <c r="K159" s="3">
        <v>3</v>
      </c>
      <c r="L159" s="2" t="s">
        <v>100</v>
      </c>
      <c r="M159" s="2" t="s">
        <v>656</v>
      </c>
      <c r="N159" s="2">
        <v>12.07</v>
      </c>
      <c r="O159" s="2">
        <v>12.9</v>
      </c>
      <c r="P159" s="2">
        <v>43.5</v>
      </c>
      <c r="Q159" s="9">
        <f t="shared" si="12"/>
        <v>11.946556818181818</v>
      </c>
      <c r="R159" s="7">
        <f t="shared" si="13"/>
        <v>938.60571655505748</v>
      </c>
      <c r="S159" s="10">
        <f t="shared" si="14"/>
        <v>837.29323510709855</v>
      </c>
      <c r="T159" s="7">
        <v>71.7</v>
      </c>
      <c r="U159" s="7">
        <v>59.6</v>
      </c>
    </row>
    <row r="160" spans="1:22" x14ac:dyDescent="0.25">
      <c r="A160" s="4">
        <v>2023</v>
      </c>
      <c r="B160" s="3" t="s">
        <v>117</v>
      </c>
      <c r="C160" s="3" t="s">
        <v>118</v>
      </c>
      <c r="D160" s="3" t="s">
        <v>119</v>
      </c>
      <c r="E160" s="3" t="s">
        <v>120</v>
      </c>
      <c r="F160" s="3" t="s">
        <v>199</v>
      </c>
      <c r="G160" s="3">
        <v>515</v>
      </c>
      <c r="H160" s="3">
        <v>15</v>
      </c>
      <c r="I160" s="3">
        <v>5</v>
      </c>
      <c r="J160" s="3">
        <v>4</v>
      </c>
      <c r="K160" s="3">
        <v>13</v>
      </c>
      <c r="L160" s="2" t="s">
        <v>87</v>
      </c>
      <c r="M160" s="2" t="s">
        <v>658</v>
      </c>
      <c r="N160" s="2">
        <v>10.17</v>
      </c>
      <c r="O160" s="2">
        <v>10.5</v>
      </c>
      <c r="P160" s="2">
        <v>40.299999999999997</v>
      </c>
      <c r="Q160" s="9">
        <f t="shared" si="12"/>
        <v>10.343352272727273</v>
      </c>
      <c r="R160" s="7">
        <f t="shared" si="13"/>
        <v>812.64666625526525</v>
      </c>
      <c r="S160" s="10">
        <f t="shared" si="14"/>
        <v>724.9301215479619</v>
      </c>
      <c r="T160" s="7">
        <v>69.900000000000006</v>
      </c>
      <c r="U160" s="7">
        <v>59.3</v>
      </c>
    </row>
    <row r="161" spans="1:22" x14ac:dyDescent="0.25">
      <c r="A161" s="4">
        <v>2023</v>
      </c>
      <c r="B161" s="3" t="s">
        <v>117</v>
      </c>
      <c r="C161" s="3" t="s">
        <v>118</v>
      </c>
      <c r="D161" s="3" t="s">
        <v>119</v>
      </c>
      <c r="E161" s="3" t="s">
        <v>120</v>
      </c>
      <c r="F161" s="3" t="s">
        <v>200</v>
      </c>
      <c r="G161" s="3">
        <v>516</v>
      </c>
      <c r="H161" s="3">
        <v>16</v>
      </c>
      <c r="I161" s="3">
        <v>5</v>
      </c>
      <c r="J161" s="3">
        <v>4</v>
      </c>
      <c r="K161" s="3">
        <v>7</v>
      </c>
      <c r="L161" s="2" t="s">
        <v>69</v>
      </c>
      <c r="M161" s="2" t="s">
        <v>658</v>
      </c>
      <c r="N161" s="2">
        <v>12.27</v>
      </c>
      <c r="O161" s="2">
        <v>11.5</v>
      </c>
      <c r="P161" s="2">
        <v>44.5</v>
      </c>
      <c r="Q161" s="9">
        <f t="shared" si="12"/>
        <v>12.339715909090909</v>
      </c>
      <c r="R161" s="7">
        <f t="shared" si="13"/>
        <v>969.49506616926897</v>
      </c>
      <c r="S161" s="10">
        <f t="shared" si="14"/>
        <v>864.84840871478048</v>
      </c>
      <c r="T161" s="7">
        <v>70.7</v>
      </c>
      <c r="U161" s="7">
        <v>60.7</v>
      </c>
    </row>
    <row r="162" spans="1:22" x14ac:dyDescent="0.25">
      <c r="A162" s="4">
        <v>2023</v>
      </c>
      <c r="B162" s="3" t="s">
        <v>201</v>
      </c>
      <c r="C162" s="3" t="s">
        <v>202</v>
      </c>
      <c r="D162" s="3" t="s">
        <v>203</v>
      </c>
      <c r="E162" s="3" t="s">
        <v>204</v>
      </c>
      <c r="F162" s="3" t="s">
        <v>659</v>
      </c>
      <c r="G162" s="3">
        <v>101</v>
      </c>
      <c r="H162" s="3">
        <v>1</v>
      </c>
      <c r="I162" s="3">
        <v>1</v>
      </c>
      <c r="J162" s="3">
        <v>1</v>
      </c>
      <c r="K162" s="3">
        <v>14</v>
      </c>
      <c r="L162" s="2" t="s">
        <v>87</v>
      </c>
      <c r="M162" s="2" t="s">
        <v>657</v>
      </c>
      <c r="N162" s="3">
        <v>9.5500000000000007</v>
      </c>
      <c r="O162" s="3">
        <v>10.9</v>
      </c>
      <c r="P162" s="3">
        <v>34.5</v>
      </c>
      <c r="Q162" s="9">
        <f t="shared" si="12"/>
        <v>9.6693750000000005</v>
      </c>
      <c r="R162" s="10">
        <f t="shared" si="13"/>
        <v>759.69426075151091</v>
      </c>
      <c r="S162" s="11">
        <f t="shared" si="14"/>
        <v>677.69336373908197</v>
      </c>
      <c r="T162" s="7">
        <v>67.400000000000006</v>
      </c>
      <c r="U162" s="7">
        <v>27.6</v>
      </c>
    </row>
    <row r="163" spans="1:22" x14ac:dyDescent="0.25">
      <c r="A163" s="4">
        <v>2023</v>
      </c>
      <c r="B163" s="3" t="s">
        <v>201</v>
      </c>
      <c r="C163" s="3" t="s">
        <v>202</v>
      </c>
      <c r="D163" s="3" t="s">
        <v>203</v>
      </c>
      <c r="E163" s="3" t="s">
        <v>204</v>
      </c>
      <c r="F163" s="3" t="s">
        <v>660</v>
      </c>
      <c r="G163" s="3">
        <v>102</v>
      </c>
      <c r="H163" s="3">
        <v>1</v>
      </c>
      <c r="I163" s="3">
        <v>2</v>
      </c>
      <c r="J163" s="3">
        <v>1</v>
      </c>
      <c r="K163" s="3">
        <v>4</v>
      </c>
      <c r="L163" s="2" t="s">
        <v>56</v>
      </c>
      <c r="M163" s="2" t="s">
        <v>658</v>
      </c>
      <c r="N163" s="3">
        <v>10.62</v>
      </c>
      <c r="O163" s="3">
        <v>17.7</v>
      </c>
      <c r="P163" s="3">
        <v>38.700000000000003</v>
      </c>
      <c r="Q163" s="9">
        <f t="shared" ref="Q163:Q221" si="15">N163*(1-O163/100)/(1-0.12)</f>
        <v>9.9321136363636349</v>
      </c>
      <c r="R163" s="10">
        <f t="shared" ref="R163:R221" si="16">((10000*Q163*12%/2.205))/((4.66*16)/10.764)</f>
        <v>780.33686010494705</v>
      </c>
      <c r="S163" s="11">
        <f t="shared" ref="S163:S221" si="17">R163/1.121</f>
        <v>696.10781454500182</v>
      </c>
      <c r="T163" s="7">
        <v>68.900000000000006</v>
      </c>
      <c r="U163" s="7">
        <v>46.7</v>
      </c>
    </row>
    <row r="164" spans="1:22" x14ac:dyDescent="0.25">
      <c r="A164" s="4">
        <v>2023</v>
      </c>
      <c r="B164" s="3" t="s">
        <v>201</v>
      </c>
      <c r="C164" s="3" t="s">
        <v>202</v>
      </c>
      <c r="D164" s="3" t="s">
        <v>203</v>
      </c>
      <c r="E164" s="3" t="s">
        <v>204</v>
      </c>
      <c r="F164" s="3" t="s">
        <v>661</v>
      </c>
      <c r="G164" s="3">
        <v>103</v>
      </c>
      <c r="H164" s="3">
        <v>1</v>
      </c>
      <c r="I164" s="3">
        <v>3</v>
      </c>
      <c r="J164" s="3">
        <v>1</v>
      </c>
      <c r="K164" s="3">
        <v>6</v>
      </c>
      <c r="L164" s="2" t="s">
        <v>56</v>
      </c>
      <c r="M164" s="2" t="s">
        <v>656</v>
      </c>
      <c r="N164" s="3">
        <v>10.69</v>
      </c>
      <c r="O164" s="3">
        <v>17.7</v>
      </c>
      <c r="P164" s="3">
        <v>39.1</v>
      </c>
      <c r="Q164" s="9">
        <f t="shared" si="15"/>
        <v>9.9975795454545455</v>
      </c>
      <c r="R164" s="10">
        <f t="shared" si="16"/>
        <v>785.48032340130749</v>
      </c>
      <c r="S164" s="11">
        <f t="shared" si="17"/>
        <v>700.69609580848123</v>
      </c>
      <c r="T164" s="7">
        <v>69.400000000000006</v>
      </c>
      <c r="U164" s="7">
        <v>50.3</v>
      </c>
    </row>
    <row r="165" spans="1:22" x14ac:dyDescent="0.25">
      <c r="A165" s="4">
        <v>2023</v>
      </c>
      <c r="B165" s="3" t="s">
        <v>201</v>
      </c>
      <c r="C165" s="3" t="s">
        <v>202</v>
      </c>
      <c r="D165" s="3" t="s">
        <v>203</v>
      </c>
      <c r="E165" s="3" t="s">
        <v>204</v>
      </c>
      <c r="F165" s="3" t="s">
        <v>662</v>
      </c>
      <c r="G165" s="3">
        <v>104</v>
      </c>
      <c r="H165" s="3">
        <v>1</v>
      </c>
      <c r="I165" s="3">
        <v>4</v>
      </c>
      <c r="J165" s="3">
        <v>1</v>
      </c>
      <c r="K165" s="3">
        <v>3</v>
      </c>
      <c r="L165" s="2" t="s">
        <v>100</v>
      </c>
      <c r="M165" s="2" t="s">
        <v>656</v>
      </c>
      <c r="N165" s="3">
        <v>11.53</v>
      </c>
      <c r="O165" s="3">
        <v>21.2</v>
      </c>
      <c r="P165" s="3">
        <v>41.2</v>
      </c>
      <c r="Q165" s="9">
        <f t="shared" si="15"/>
        <v>10.324590909090908</v>
      </c>
      <c r="R165" s="10">
        <f t="shared" si="16"/>
        <v>811.17264127656506</v>
      </c>
      <c r="S165" s="11">
        <f t="shared" si="17"/>
        <v>723.61520185242205</v>
      </c>
      <c r="T165" s="7">
        <v>69.7</v>
      </c>
      <c r="U165" s="7">
        <v>47.1</v>
      </c>
    </row>
    <row r="166" spans="1:22" x14ac:dyDescent="0.25">
      <c r="A166" s="4">
        <v>2023</v>
      </c>
      <c r="B166" s="3" t="s">
        <v>201</v>
      </c>
      <c r="C166" s="3" t="s">
        <v>202</v>
      </c>
      <c r="D166" s="3" t="s">
        <v>203</v>
      </c>
      <c r="E166" s="3" t="s">
        <v>204</v>
      </c>
      <c r="F166" s="3" t="s">
        <v>663</v>
      </c>
      <c r="G166" s="3">
        <v>105</v>
      </c>
      <c r="H166" s="3">
        <v>1</v>
      </c>
      <c r="I166" s="3">
        <v>5</v>
      </c>
      <c r="J166" s="3">
        <v>1</v>
      </c>
      <c r="K166" s="3">
        <v>2</v>
      </c>
      <c r="L166" s="2" t="s">
        <v>100</v>
      </c>
      <c r="M166" s="2" t="s">
        <v>657</v>
      </c>
      <c r="N166" s="3">
        <v>12.37</v>
      </c>
      <c r="O166" s="3">
        <v>20.100000000000001</v>
      </c>
      <c r="P166" s="3">
        <v>38.700000000000003</v>
      </c>
      <c r="Q166" s="9">
        <f t="shared" si="15"/>
        <v>11.231397727272725</v>
      </c>
      <c r="R166" s="10">
        <f t="shared" si="16"/>
        <v>882.41777711865052</v>
      </c>
      <c r="S166" s="11">
        <f t="shared" si="17"/>
        <v>787.17018476240014</v>
      </c>
      <c r="T166" s="7">
        <v>69.400000000000006</v>
      </c>
      <c r="U166" s="7">
        <v>46.1</v>
      </c>
    </row>
    <row r="167" spans="1:22" x14ac:dyDescent="0.25">
      <c r="A167" s="4">
        <v>2023</v>
      </c>
      <c r="B167" s="3" t="s">
        <v>201</v>
      </c>
      <c r="C167" s="3" t="s">
        <v>202</v>
      </c>
      <c r="D167" s="3" t="s">
        <v>203</v>
      </c>
      <c r="E167" s="3" t="s">
        <v>204</v>
      </c>
      <c r="F167" s="3" t="s">
        <v>664</v>
      </c>
      <c r="G167" s="3">
        <v>106</v>
      </c>
      <c r="H167" s="3">
        <v>1</v>
      </c>
      <c r="I167" s="3">
        <v>6</v>
      </c>
      <c r="J167" s="3">
        <v>2</v>
      </c>
      <c r="K167" s="3">
        <v>9</v>
      </c>
      <c r="L167" s="2" t="s">
        <v>69</v>
      </c>
      <c r="M167" s="2" t="s">
        <v>656</v>
      </c>
      <c r="N167" s="3">
        <v>12.94</v>
      </c>
      <c r="O167" s="3">
        <v>18.399999999999999</v>
      </c>
      <c r="P167" s="3">
        <v>39.9</v>
      </c>
      <c r="Q167" s="9">
        <f t="shared" si="15"/>
        <v>11.998909090909091</v>
      </c>
      <c r="R167" s="10">
        <f t="shared" si="16"/>
        <v>942.7188801388678</v>
      </c>
      <c r="S167" s="11">
        <f t="shared" si="17"/>
        <v>840.96242652887406</v>
      </c>
      <c r="T167" s="7">
        <v>69.2</v>
      </c>
      <c r="U167" s="7">
        <v>45.1</v>
      </c>
    </row>
    <row r="168" spans="1:22" x14ac:dyDescent="0.25">
      <c r="A168" s="4">
        <v>2023</v>
      </c>
      <c r="B168" s="3" t="s">
        <v>201</v>
      </c>
      <c r="C168" s="3" t="s">
        <v>202</v>
      </c>
      <c r="D168" s="3" t="s">
        <v>203</v>
      </c>
      <c r="E168" s="3" t="s">
        <v>204</v>
      </c>
      <c r="F168" s="3" t="s">
        <v>665</v>
      </c>
      <c r="G168" s="3">
        <v>107</v>
      </c>
      <c r="H168" s="3">
        <v>1</v>
      </c>
      <c r="I168" s="3">
        <v>7</v>
      </c>
      <c r="J168" s="3">
        <v>2</v>
      </c>
      <c r="K168" s="3">
        <v>13</v>
      </c>
      <c r="L168" s="2" t="s">
        <v>87</v>
      </c>
      <c r="M168" s="2" t="s">
        <v>658</v>
      </c>
      <c r="N168" s="3">
        <v>10.31</v>
      </c>
      <c r="O168" s="3">
        <v>15.8</v>
      </c>
      <c r="P168" s="3">
        <v>36.200000000000003</v>
      </c>
      <c r="Q168" s="9">
        <f t="shared" si="15"/>
        <v>9.8647954545454546</v>
      </c>
      <c r="R168" s="10">
        <f t="shared" si="16"/>
        <v>775.04786920620757</v>
      </c>
      <c r="S168" s="11">
        <f t="shared" si="17"/>
        <v>691.38971383247781</v>
      </c>
      <c r="T168" s="7">
        <v>69</v>
      </c>
      <c r="U168" s="7">
        <v>30.8</v>
      </c>
    </row>
    <row r="169" spans="1:22" x14ac:dyDescent="0.25">
      <c r="A169" s="4">
        <v>2023</v>
      </c>
      <c r="B169" s="3" t="s">
        <v>201</v>
      </c>
      <c r="C169" s="3" t="s">
        <v>202</v>
      </c>
      <c r="D169" s="3" t="s">
        <v>203</v>
      </c>
      <c r="E169" s="3" t="s">
        <v>204</v>
      </c>
      <c r="F169" s="3" t="s">
        <v>666</v>
      </c>
      <c r="G169" s="3">
        <v>108</v>
      </c>
      <c r="H169" s="3">
        <v>1</v>
      </c>
      <c r="I169" s="3">
        <v>8</v>
      </c>
      <c r="J169" s="3">
        <v>2</v>
      </c>
      <c r="K169" s="3">
        <v>3</v>
      </c>
      <c r="L169" s="2" t="s">
        <v>100</v>
      </c>
      <c r="M169" s="2" t="s">
        <v>656</v>
      </c>
      <c r="N169" s="3">
        <v>13.44</v>
      </c>
      <c r="O169" s="3">
        <v>19.2</v>
      </c>
      <c r="P169" s="3">
        <v>40.5</v>
      </c>
      <c r="Q169" s="9">
        <f t="shared" si="15"/>
        <v>12.340363636363636</v>
      </c>
      <c r="R169" s="10">
        <f t="shared" si="16"/>
        <v>969.54595618973281</v>
      </c>
      <c r="S169" s="11">
        <f t="shared" si="17"/>
        <v>864.89380570002925</v>
      </c>
      <c r="T169" s="7">
        <v>70.400000000000006</v>
      </c>
      <c r="U169" s="7">
        <v>48.6</v>
      </c>
      <c r="V169" s="4"/>
    </row>
    <row r="170" spans="1:22" x14ac:dyDescent="0.25">
      <c r="A170" s="4">
        <v>2023</v>
      </c>
      <c r="B170" s="3" t="s">
        <v>201</v>
      </c>
      <c r="C170" s="3" t="s">
        <v>202</v>
      </c>
      <c r="D170" s="3" t="s">
        <v>203</v>
      </c>
      <c r="E170" s="3" t="s">
        <v>204</v>
      </c>
      <c r="F170" s="3" t="s">
        <v>667</v>
      </c>
      <c r="G170" s="3">
        <v>109</v>
      </c>
      <c r="H170" s="3">
        <v>1</v>
      </c>
      <c r="I170" s="3">
        <v>9</v>
      </c>
      <c r="J170" s="3">
        <v>2</v>
      </c>
      <c r="K170" s="3">
        <v>10</v>
      </c>
      <c r="L170" s="2" t="s">
        <v>27</v>
      </c>
      <c r="M170" s="2" t="s">
        <v>658</v>
      </c>
      <c r="N170" s="3">
        <v>9.4700000000000006</v>
      </c>
      <c r="O170" s="3">
        <v>18.3</v>
      </c>
      <c r="P170" s="3">
        <v>39.5</v>
      </c>
      <c r="Q170" s="9">
        <f t="shared" si="15"/>
        <v>8.792034090909091</v>
      </c>
      <c r="R170" s="10">
        <f t="shared" si="16"/>
        <v>690.76417443684454</v>
      </c>
      <c r="S170" s="11">
        <f t="shared" si="17"/>
        <v>616.20354543875521</v>
      </c>
      <c r="T170" s="7">
        <v>73</v>
      </c>
      <c r="U170" s="7">
        <v>60.7</v>
      </c>
      <c r="V170" s="4"/>
    </row>
    <row r="171" spans="1:22" x14ac:dyDescent="0.25">
      <c r="A171" s="4">
        <v>2023</v>
      </c>
      <c r="B171" s="3" t="s">
        <v>201</v>
      </c>
      <c r="C171" s="3" t="s">
        <v>202</v>
      </c>
      <c r="D171" s="3" t="s">
        <v>203</v>
      </c>
      <c r="E171" s="3" t="s">
        <v>204</v>
      </c>
      <c r="F171" s="3" t="s">
        <v>668</v>
      </c>
      <c r="G171" s="3">
        <v>110</v>
      </c>
      <c r="H171" s="3">
        <v>1</v>
      </c>
      <c r="I171" s="3">
        <v>10</v>
      </c>
      <c r="J171" s="3">
        <v>2</v>
      </c>
      <c r="K171" s="3">
        <v>2</v>
      </c>
      <c r="L171" s="2" t="s">
        <v>100</v>
      </c>
      <c r="M171" s="2" t="s">
        <v>657</v>
      </c>
      <c r="N171" s="3">
        <v>12.81</v>
      </c>
      <c r="O171" s="3">
        <v>18.5</v>
      </c>
      <c r="P171" s="3">
        <v>40.5</v>
      </c>
      <c r="Q171" s="9">
        <f t="shared" si="15"/>
        <v>11.863806818181818</v>
      </c>
      <c r="R171" s="10">
        <f t="shared" si="16"/>
        <v>932.10429323894971</v>
      </c>
      <c r="S171" s="11">
        <f t="shared" si="17"/>
        <v>831.49357113198016</v>
      </c>
      <c r="T171" s="7">
        <v>70.2</v>
      </c>
      <c r="U171" s="7">
        <v>46.7</v>
      </c>
      <c r="V171" s="4"/>
    </row>
    <row r="172" spans="1:22" x14ac:dyDescent="0.25">
      <c r="A172" s="4">
        <v>2023</v>
      </c>
      <c r="B172" s="3" t="s">
        <v>201</v>
      </c>
      <c r="C172" s="3" t="s">
        <v>202</v>
      </c>
      <c r="D172" s="3" t="s">
        <v>203</v>
      </c>
      <c r="E172" s="3" t="s">
        <v>204</v>
      </c>
      <c r="F172" s="3" t="s">
        <v>669</v>
      </c>
      <c r="G172" s="3">
        <v>111</v>
      </c>
      <c r="H172" s="3">
        <v>1</v>
      </c>
      <c r="I172" s="3">
        <v>11</v>
      </c>
      <c r="J172" s="3">
        <v>3</v>
      </c>
      <c r="K172" s="3">
        <v>1</v>
      </c>
      <c r="L172" s="2" t="s">
        <v>100</v>
      </c>
      <c r="M172" s="2" t="s">
        <v>658</v>
      </c>
      <c r="N172" s="3">
        <v>11.44</v>
      </c>
      <c r="O172" s="3">
        <v>18</v>
      </c>
      <c r="P172" s="3">
        <v>38.5</v>
      </c>
      <c r="Q172" s="9">
        <f t="shared" si="15"/>
        <v>10.66</v>
      </c>
      <c r="R172" s="10">
        <f t="shared" si="16"/>
        <v>837.52474380310059</v>
      </c>
      <c r="S172" s="11">
        <f t="shared" si="17"/>
        <v>747.12287582792203</v>
      </c>
      <c r="T172" s="7">
        <v>68.599999999999994</v>
      </c>
      <c r="U172" s="7">
        <v>40.6</v>
      </c>
      <c r="V172" s="4"/>
    </row>
    <row r="173" spans="1:22" x14ac:dyDescent="0.25">
      <c r="A173" s="4">
        <v>2023</v>
      </c>
      <c r="B173" s="3" t="s">
        <v>201</v>
      </c>
      <c r="C173" s="3" t="s">
        <v>202</v>
      </c>
      <c r="D173" s="3" t="s">
        <v>203</v>
      </c>
      <c r="E173" s="3" t="s">
        <v>204</v>
      </c>
      <c r="F173" s="3" t="s">
        <v>670</v>
      </c>
      <c r="G173" s="3">
        <v>112</v>
      </c>
      <c r="H173" s="3">
        <v>1</v>
      </c>
      <c r="I173" s="3">
        <v>12</v>
      </c>
      <c r="J173" s="3">
        <v>3</v>
      </c>
      <c r="K173" s="3">
        <v>9</v>
      </c>
      <c r="L173" s="2" t="s">
        <v>69</v>
      </c>
      <c r="M173" s="2" t="s">
        <v>656</v>
      </c>
      <c r="N173" s="3">
        <v>12.48</v>
      </c>
      <c r="O173" s="3">
        <v>18.100000000000001</v>
      </c>
      <c r="P173" s="3">
        <v>40</v>
      </c>
      <c r="Q173" s="9">
        <f t="shared" si="15"/>
        <v>11.614909090909089</v>
      </c>
      <c r="R173" s="10">
        <f t="shared" si="16"/>
        <v>912.54913327016311</v>
      </c>
      <c r="S173" s="11">
        <f t="shared" si="17"/>
        <v>814.04918222137655</v>
      </c>
      <c r="T173" s="7">
        <v>68.7</v>
      </c>
      <c r="U173" s="7">
        <v>46.3</v>
      </c>
      <c r="V173" s="4"/>
    </row>
    <row r="174" spans="1:22" x14ac:dyDescent="0.25">
      <c r="A174" s="4">
        <v>2023</v>
      </c>
      <c r="B174" s="3" t="s">
        <v>201</v>
      </c>
      <c r="C174" s="3" t="s">
        <v>202</v>
      </c>
      <c r="D174" s="3" t="s">
        <v>203</v>
      </c>
      <c r="E174" s="3" t="s">
        <v>204</v>
      </c>
      <c r="F174" s="3" t="s">
        <v>671</v>
      </c>
      <c r="G174" s="3">
        <v>113</v>
      </c>
      <c r="H174" s="3">
        <v>1</v>
      </c>
      <c r="I174" s="3">
        <v>13</v>
      </c>
      <c r="J174" s="3">
        <v>3</v>
      </c>
      <c r="K174" s="3">
        <v>20</v>
      </c>
      <c r="L174" s="2" t="s">
        <v>82</v>
      </c>
      <c r="M174" s="2" t="s">
        <v>658</v>
      </c>
      <c r="N174" s="3">
        <v>11.45</v>
      </c>
      <c r="O174" s="3">
        <v>19.2</v>
      </c>
      <c r="P174" s="3">
        <v>38.700000000000003</v>
      </c>
      <c r="Q174" s="9">
        <f t="shared" si="15"/>
        <v>10.513181818181819</v>
      </c>
      <c r="R174" s="10">
        <f t="shared" si="16"/>
        <v>825.98967249794964</v>
      </c>
      <c r="S174" s="11">
        <f t="shared" si="17"/>
        <v>736.83289250486143</v>
      </c>
      <c r="T174" s="7">
        <v>70.2</v>
      </c>
      <c r="U174" s="7">
        <v>54</v>
      </c>
      <c r="V174" s="4"/>
    </row>
    <row r="175" spans="1:22" x14ac:dyDescent="0.25">
      <c r="A175" s="4">
        <v>2023</v>
      </c>
      <c r="B175" s="3" t="s">
        <v>201</v>
      </c>
      <c r="C175" s="3" t="s">
        <v>202</v>
      </c>
      <c r="D175" s="3" t="s">
        <v>203</v>
      </c>
      <c r="E175" s="3" t="s">
        <v>204</v>
      </c>
      <c r="F175" s="3" t="s">
        <v>672</v>
      </c>
      <c r="G175" s="3">
        <v>114</v>
      </c>
      <c r="H175" s="3">
        <v>1</v>
      </c>
      <c r="I175" s="3">
        <v>14</v>
      </c>
      <c r="J175" s="3">
        <v>3</v>
      </c>
      <c r="K175" s="3">
        <v>16</v>
      </c>
      <c r="L175" s="2" t="s">
        <v>42</v>
      </c>
      <c r="M175" s="2" t="s">
        <v>658</v>
      </c>
      <c r="N175" s="3">
        <v>9.8699999999999992</v>
      </c>
      <c r="O175" s="3">
        <v>18.3</v>
      </c>
      <c r="P175" s="3">
        <v>39.200000000000003</v>
      </c>
      <c r="Q175" s="9">
        <f t="shared" si="15"/>
        <v>9.1633977272727254</v>
      </c>
      <c r="R175" s="10">
        <f t="shared" si="16"/>
        <v>719.94111950281444</v>
      </c>
      <c r="S175" s="11">
        <f t="shared" si="17"/>
        <v>642.23115031473185</v>
      </c>
      <c r="T175" s="7">
        <v>70.099999999999994</v>
      </c>
      <c r="U175" s="7">
        <v>60.2</v>
      </c>
      <c r="V175" s="4"/>
    </row>
    <row r="176" spans="1:22" x14ac:dyDescent="0.25">
      <c r="A176" s="4">
        <v>2023</v>
      </c>
      <c r="B176" s="3" t="s">
        <v>201</v>
      </c>
      <c r="C176" s="3" t="s">
        <v>202</v>
      </c>
      <c r="D176" s="3" t="s">
        <v>203</v>
      </c>
      <c r="E176" s="3" t="s">
        <v>204</v>
      </c>
      <c r="F176" s="3" t="s">
        <v>673</v>
      </c>
      <c r="G176" s="3">
        <v>115</v>
      </c>
      <c r="H176" s="3">
        <v>1</v>
      </c>
      <c r="I176" s="3">
        <v>15</v>
      </c>
      <c r="J176" s="3">
        <v>3</v>
      </c>
      <c r="K176" s="3">
        <v>13</v>
      </c>
      <c r="L176" s="2" t="s">
        <v>87</v>
      </c>
      <c r="M176" s="2" t="s">
        <v>658</v>
      </c>
      <c r="N176" s="3">
        <v>10.220000000000001</v>
      </c>
      <c r="O176" s="3">
        <v>14.2</v>
      </c>
      <c r="P176" s="3">
        <v>36</v>
      </c>
      <c r="Q176" s="9">
        <f t="shared" si="15"/>
        <v>9.964500000000001</v>
      </c>
      <c r="R176" s="10">
        <f t="shared" si="16"/>
        <v>782.8813611281422</v>
      </c>
      <c r="S176" s="11">
        <f t="shared" si="17"/>
        <v>698.37766380744176</v>
      </c>
      <c r="T176" s="7">
        <v>69.2</v>
      </c>
      <c r="U176" s="7">
        <v>29.7</v>
      </c>
      <c r="V176" s="4"/>
    </row>
    <row r="177" spans="1:22" x14ac:dyDescent="0.25">
      <c r="A177" s="4">
        <v>2023</v>
      </c>
      <c r="B177" s="3" t="s">
        <v>201</v>
      </c>
      <c r="C177" s="3" t="s">
        <v>202</v>
      </c>
      <c r="D177" s="3" t="s">
        <v>203</v>
      </c>
      <c r="E177" s="3" t="s">
        <v>204</v>
      </c>
      <c r="F177" s="3" t="s">
        <v>674</v>
      </c>
      <c r="G177" s="3">
        <v>201</v>
      </c>
      <c r="H177" s="3">
        <v>2</v>
      </c>
      <c r="I177" s="3">
        <v>1</v>
      </c>
      <c r="J177" s="3">
        <v>1</v>
      </c>
      <c r="K177" s="3">
        <v>11</v>
      </c>
      <c r="L177" s="2" t="s">
        <v>27</v>
      </c>
      <c r="M177" s="2" t="s">
        <v>657</v>
      </c>
      <c r="N177" s="3">
        <v>5.54</v>
      </c>
      <c r="O177" s="3">
        <v>18.100000000000001</v>
      </c>
      <c r="P177" s="3">
        <v>34.9</v>
      </c>
      <c r="Q177" s="9">
        <f t="shared" si="15"/>
        <v>5.1559772727272728</v>
      </c>
      <c r="R177" s="10">
        <f t="shared" si="16"/>
        <v>405.08991973691542</v>
      </c>
      <c r="S177" s="11">
        <f t="shared" si="17"/>
        <v>361.36478121045087</v>
      </c>
      <c r="T177" s="7">
        <v>69.7</v>
      </c>
      <c r="U177" s="7">
        <v>53.7</v>
      </c>
      <c r="V177" s="4"/>
    </row>
    <row r="178" spans="1:22" x14ac:dyDescent="0.25">
      <c r="A178" s="4">
        <v>2023</v>
      </c>
      <c r="B178" s="3" t="s">
        <v>201</v>
      </c>
      <c r="C178" s="3" t="s">
        <v>202</v>
      </c>
      <c r="D178" s="3" t="s">
        <v>203</v>
      </c>
      <c r="E178" s="3" t="s">
        <v>204</v>
      </c>
      <c r="F178" s="3" t="s">
        <v>675</v>
      </c>
      <c r="G178" s="3">
        <v>202</v>
      </c>
      <c r="H178" s="3">
        <v>2</v>
      </c>
      <c r="I178" s="3">
        <v>2</v>
      </c>
      <c r="J178" s="3">
        <v>1</v>
      </c>
      <c r="K178" s="3">
        <v>5</v>
      </c>
      <c r="L178" s="2" t="s">
        <v>56</v>
      </c>
      <c r="M178" s="2" t="s">
        <v>657</v>
      </c>
      <c r="N178" s="3">
        <v>10.46</v>
      </c>
      <c r="O178" s="3">
        <v>18.399999999999999</v>
      </c>
      <c r="P178" s="3">
        <v>40.6</v>
      </c>
      <c r="Q178" s="9">
        <f t="shared" si="15"/>
        <v>9.6992727272727279</v>
      </c>
      <c r="R178" s="10">
        <f t="shared" si="16"/>
        <v>762.04323695923938</v>
      </c>
      <c r="S178" s="11">
        <f t="shared" si="17"/>
        <v>679.78879300556594</v>
      </c>
      <c r="T178" s="7">
        <v>69.099999999999994</v>
      </c>
      <c r="U178" s="7">
        <v>49.5</v>
      </c>
      <c r="V178" s="4"/>
    </row>
    <row r="179" spans="1:22" x14ac:dyDescent="0.25">
      <c r="A179" s="4">
        <v>2023</v>
      </c>
      <c r="B179" s="3" t="s">
        <v>201</v>
      </c>
      <c r="C179" s="3" t="s">
        <v>202</v>
      </c>
      <c r="D179" s="3" t="s">
        <v>203</v>
      </c>
      <c r="E179" s="3" t="s">
        <v>204</v>
      </c>
      <c r="F179" s="3" t="s">
        <v>676</v>
      </c>
      <c r="G179" s="3">
        <v>203</v>
      </c>
      <c r="H179" s="3">
        <v>2</v>
      </c>
      <c r="I179" s="3">
        <v>3</v>
      </c>
      <c r="J179" s="3">
        <v>1</v>
      </c>
      <c r="K179" s="3">
        <v>16</v>
      </c>
      <c r="L179" s="2" t="s">
        <v>42</v>
      </c>
      <c r="M179" s="2" t="s">
        <v>658</v>
      </c>
      <c r="N179" s="3">
        <v>8.26</v>
      </c>
      <c r="O179" s="3">
        <v>19.3</v>
      </c>
      <c r="P179" s="3">
        <v>37.6</v>
      </c>
      <c r="Q179" s="9">
        <f t="shared" si="15"/>
        <v>7.5747954545454537</v>
      </c>
      <c r="R179" s="10">
        <f t="shared" si="16"/>
        <v>595.12932668190172</v>
      </c>
      <c r="S179" s="11">
        <f t="shared" si="17"/>
        <v>530.8914600195377</v>
      </c>
      <c r="T179" s="7">
        <v>69</v>
      </c>
      <c r="U179" s="7">
        <v>57.3</v>
      </c>
      <c r="V179" s="4"/>
    </row>
    <row r="180" spans="1:22" x14ac:dyDescent="0.25">
      <c r="A180" s="4">
        <v>2023</v>
      </c>
      <c r="B180" s="3" t="s">
        <v>201</v>
      </c>
      <c r="C180" s="3" t="s">
        <v>202</v>
      </c>
      <c r="D180" s="3" t="s">
        <v>203</v>
      </c>
      <c r="E180" s="3" t="s">
        <v>204</v>
      </c>
      <c r="F180" s="3" t="s">
        <v>677</v>
      </c>
      <c r="G180" s="3">
        <v>204</v>
      </c>
      <c r="H180" s="3">
        <v>2</v>
      </c>
      <c r="I180" s="3">
        <v>4</v>
      </c>
      <c r="J180" s="3">
        <v>1</v>
      </c>
      <c r="K180" s="3">
        <v>15</v>
      </c>
      <c r="L180" s="2" t="s">
        <v>87</v>
      </c>
      <c r="M180" s="2" t="s">
        <v>656</v>
      </c>
      <c r="N180" s="3">
        <v>8.73</v>
      </c>
      <c r="O180" s="3">
        <v>18.3</v>
      </c>
      <c r="P180" s="3">
        <v>36.4</v>
      </c>
      <c r="Q180" s="9">
        <f t="shared" si="15"/>
        <v>8.105011363636363</v>
      </c>
      <c r="R180" s="10">
        <f t="shared" si="16"/>
        <v>636.78682606479958</v>
      </c>
      <c r="S180" s="11">
        <f t="shared" si="17"/>
        <v>568.05247641819767</v>
      </c>
      <c r="T180" s="7">
        <v>69</v>
      </c>
      <c r="U180" s="7">
        <v>29.9</v>
      </c>
      <c r="V180" s="4"/>
    </row>
    <row r="181" spans="1:22" x14ac:dyDescent="0.25">
      <c r="A181" s="4">
        <v>2023</v>
      </c>
      <c r="B181" s="3" t="s">
        <v>201</v>
      </c>
      <c r="C181" s="3" t="s">
        <v>202</v>
      </c>
      <c r="D181" s="3" t="s">
        <v>203</v>
      </c>
      <c r="E181" s="3" t="s">
        <v>204</v>
      </c>
      <c r="F181" s="3" t="s">
        <v>678</v>
      </c>
      <c r="G181" s="3">
        <v>205</v>
      </c>
      <c r="H181" s="3">
        <v>2</v>
      </c>
      <c r="I181" s="3">
        <v>5</v>
      </c>
      <c r="J181" s="3">
        <v>1</v>
      </c>
      <c r="K181" s="3">
        <v>20</v>
      </c>
      <c r="L181" s="2" t="s">
        <v>82</v>
      </c>
      <c r="M181" s="2" t="s">
        <v>658</v>
      </c>
      <c r="N181" s="3">
        <v>11.05</v>
      </c>
      <c r="O181" s="3">
        <v>19.899999999999999</v>
      </c>
      <c r="P181" s="3">
        <v>39.299999999999997</v>
      </c>
      <c r="Q181" s="9">
        <f t="shared" si="15"/>
        <v>10.058011363636364</v>
      </c>
      <c r="R181" s="10">
        <f t="shared" si="16"/>
        <v>790.22827302985183</v>
      </c>
      <c r="S181" s="11">
        <f t="shared" si="17"/>
        <v>704.93155488836021</v>
      </c>
      <c r="T181" s="7">
        <v>69.400000000000006</v>
      </c>
      <c r="U181" s="7">
        <v>52.7</v>
      </c>
      <c r="V181" s="4"/>
    </row>
    <row r="182" spans="1:22" x14ac:dyDescent="0.25">
      <c r="A182" s="4">
        <v>2023</v>
      </c>
      <c r="B182" s="3" t="s">
        <v>201</v>
      </c>
      <c r="C182" s="3" t="s">
        <v>202</v>
      </c>
      <c r="D182" s="3" t="s">
        <v>203</v>
      </c>
      <c r="E182" s="3" t="s">
        <v>204</v>
      </c>
      <c r="F182" s="3" t="s">
        <v>679</v>
      </c>
      <c r="G182" s="3">
        <v>206</v>
      </c>
      <c r="H182" s="3">
        <v>2</v>
      </c>
      <c r="I182" s="3">
        <v>6</v>
      </c>
      <c r="J182" s="3">
        <v>2</v>
      </c>
      <c r="K182" s="3">
        <v>14</v>
      </c>
      <c r="L182" s="2" t="s">
        <v>87</v>
      </c>
      <c r="M182" s="2" t="s">
        <v>657</v>
      </c>
      <c r="N182" s="3">
        <v>10.050000000000001</v>
      </c>
      <c r="O182" s="3">
        <v>16.7</v>
      </c>
      <c r="P182" s="3">
        <v>37.1</v>
      </c>
      <c r="Q182" s="9">
        <f t="shared" si="15"/>
        <v>9.5132386363636368</v>
      </c>
      <c r="R182" s="10">
        <f t="shared" si="16"/>
        <v>747.42708739758086</v>
      </c>
      <c r="S182" s="11">
        <f t="shared" si="17"/>
        <v>666.75030097910872</v>
      </c>
      <c r="T182" s="7">
        <v>68.7</v>
      </c>
      <c r="U182" s="7">
        <v>32.4</v>
      </c>
      <c r="V182" s="4"/>
    </row>
    <row r="183" spans="1:22" x14ac:dyDescent="0.25">
      <c r="A183" s="4">
        <v>2023</v>
      </c>
      <c r="B183" s="3" t="s">
        <v>201</v>
      </c>
      <c r="C183" s="3" t="s">
        <v>202</v>
      </c>
      <c r="D183" s="3" t="s">
        <v>203</v>
      </c>
      <c r="E183" s="3" t="s">
        <v>204</v>
      </c>
      <c r="F183" s="3" t="s">
        <v>680</v>
      </c>
      <c r="G183" s="3">
        <v>207</v>
      </c>
      <c r="H183" s="3">
        <v>2</v>
      </c>
      <c r="I183" s="3">
        <v>7</v>
      </c>
      <c r="J183" s="3">
        <v>2</v>
      </c>
      <c r="K183" s="3">
        <v>6</v>
      </c>
      <c r="L183" s="2" t="s">
        <v>56</v>
      </c>
      <c r="M183" s="2" t="s">
        <v>656</v>
      </c>
      <c r="N183" s="3">
        <v>10.96</v>
      </c>
      <c r="O183" s="3">
        <v>18</v>
      </c>
      <c r="P183" s="3">
        <v>40.6</v>
      </c>
      <c r="Q183" s="9">
        <f t="shared" si="15"/>
        <v>10.212727272727275</v>
      </c>
      <c r="R183" s="10">
        <f t="shared" si="16"/>
        <v>802.38384546171187</v>
      </c>
      <c r="S183" s="11">
        <f t="shared" si="17"/>
        <v>715.77506285612117</v>
      </c>
      <c r="T183" s="7">
        <v>69</v>
      </c>
      <c r="U183" s="7">
        <v>48.7</v>
      </c>
      <c r="V183" s="4"/>
    </row>
    <row r="184" spans="1:22" x14ac:dyDescent="0.25">
      <c r="A184" s="4">
        <v>2023</v>
      </c>
      <c r="B184" s="3" t="s">
        <v>201</v>
      </c>
      <c r="C184" s="3" t="s">
        <v>202</v>
      </c>
      <c r="D184" s="3" t="s">
        <v>203</v>
      </c>
      <c r="E184" s="3" t="s">
        <v>204</v>
      </c>
      <c r="F184" s="3" t="s">
        <v>205</v>
      </c>
      <c r="G184" s="3">
        <v>208</v>
      </c>
      <c r="H184" s="3">
        <v>2</v>
      </c>
      <c r="I184" s="3">
        <v>8</v>
      </c>
      <c r="J184" s="3">
        <v>2</v>
      </c>
      <c r="K184" s="3">
        <v>1</v>
      </c>
      <c r="L184" s="2" t="s">
        <v>100</v>
      </c>
      <c r="M184" s="2" t="s">
        <v>658</v>
      </c>
      <c r="N184" s="3">
        <v>11.74</v>
      </c>
      <c r="O184" s="3">
        <v>19.899999999999999</v>
      </c>
      <c r="P184" s="3">
        <v>39.6</v>
      </c>
      <c r="Q184" s="9">
        <f t="shared" si="15"/>
        <v>10.686068181818182</v>
      </c>
      <c r="R184" s="10">
        <f t="shared" si="16"/>
        <v>839.57284392492852</v>
      </c>
      <c r="S184" s="11">
        <f t="shared" si="17"/>
        <v>748.94990537460171</v>
      </c>
      <c r="T184" s="7">
        <v>69.3</v>
      </c>
      <c r="U184" s="7">
        <v>42</v>
      </c>
      <c r="V184" s="4"/>
    </row>
    <row r="185" spans="1:22" x14ac:dyDescent="0.25">
      <c r="A185" s="4">
        <v>2023</v>
      </c>
      <c r="B185" s="3" t="s">
        <v>201</v>
      </c>
      <c r="C185" s="3" t="s">
        <v>202</v>
      </c>
      <c r="D185" s="3" t="s">
        <v>203</v>
      </c>
      <c r="E185" s="3" t="s">
        <v>204</v>
      </c>
      <c r="F185" s="3" t="s">
        <v>206</v>
      </c>
      <c r="G185" s="3">
        <v>209</v>
      </c>
      <c r="H185" s="3">
        <v>2</v>
      </c>
      <c r="I185" s="3">
        <v>9</v>
      </c>
      <c r="J185" s="3">
        <v>2</v>
      </c>
      <c r="K185" s="3">
        <v>11</v>
      </c>
      <c r="L185" s="2" t="s">
        <v>27</v>
      </c>
      <c r="M185" s="2" t="s">
        <v>657</v>
      </c>
      <c r="N185" s="3">
        <v>8.26</v>
      </c>
      <c r="O185" s="3">
        <v>20.3</v>
      </c>
      <c r="P185" s="3">
        <v>41.7</v>
      </c>
      <c r="Q185" s="9">
        <f t="shared" si="15"/>
        <v>7.4809318181818174</v>
      </c>
      <c r="R185" s="10">
        <f t="shared" si="16"/>
        <v>587.75473775151875</v>
      </c>
      <c r="S185" s="11">
        <f t="shared" si="17"/>
        <v>524.31287935015052</v>
      </c>
      <c r="T185" s="7">
        <v>72.900000000000006</v>
      </c>
      <c r="U185" s="7">
        <v>61.9</v>
      </c>
      <c r="V185" s="4"/>
    </row>
    <row r="186" spans="1:22" x14ac:dyDescent="0.25">
      <c r="A186" s="4">
        <v>2023</v>
      </c>
      <c r="B186" s="3" t="s">
        <v>201</v>
      </c>
      <c r="C186" s="3" t="s">
        <v>202</v>
      </c>
      <c r="D186" s="3" t="s">
        <v>203</v>
      </c>
      <c r="E186" s="3" t="s">
        <v>204</v>
      </c>
      <c r="F186" s="3" t="s">
        <v>207</v>
      </c>
      <c r="G186" s="3">
        <v>210</v>
      </c>
      <c r="H186" s="3">
        <v>2</v>
      </c>
      <c r="I186" s="3">
        <v>10</v>
      </c>
      <c r="J186" s="3">
        <v>2</v>
      </c>
      <c r="K186" s="3">
        <v>12</v>
      </c>
      <c r="L186" s="2" t="s">
        <v>27</v>
      </c>
      <c r="M186" s="2" t="s">
        <v>656</v>
      </c>
      <c r="N186" s="3">
        <v>8.4700000000000006</v>
      </c>
      <c r="O186" s="3">
        <v>21.4</v>
      </c>
      <c r="P186" s="3">
        <v>41.8</v>
      </c>
      <c r="Q186" s="9">
        <f t="shared" si="15"/>
        <v>7.5652500000000007</v>
      </c>
      <c r="R186" s="10">
        <f t="shared" si="16"/>
        <v>594.37936848559161</v>
      </c>
      <c r="S186" s="11">
        <f t="shared" si="17"/>
        <v>530.22245181587118</v>
      </c>
      <c r="T186" s="7">
        <v>73</v>
      </c>
      <c r="U186" s="7">
        <v>63.3</v>
      </c>
      <c r="V186" s="4"/>
    </row>
    <row r="187" spans="1:22" x14ac:dyDescent="0.25">
      <c r="A187" s="4">
        <v>2023</v>
      </c>
      <c r="B187" s="3" t="s">
        <v>201</v>
      </c>
      <c r="C187" s="3" t="s">
        <v>202</v>
      </c>
      <c r="D187" s="3" t="s">
        <v>203</v>
      </c>
      <c r="E187" s="3" t="s">
        <v>204</v>
      </c>
      <c r="F187" s="3" t="s">
        <v>208</v>
      </c>
      <c r="G187" s="3">
        <v>211</v>
      </c>
      <c r="H187" s="3">
        <v>2</v>
      </c>
      <c r="I187" s="3">
        <v>11</v>
      </c>
      <c r="J187" s="3">
        <v>3</v>
      </c>
      <c r="K187" s="3">
        <v>3</v>
      </c>
      <c r="L187" s="2" t="s">
        <v>100</v>
      </c>
      <c r="M187" s="2" t="s">
        <v>656</v>
      </c>
      <c r="N187" s="3">
        <v>11.64</v>
      </c>
      <c r="O187" s="3">
        <v>18.600000000000001</v>
      </c>
      <c r="P187" s="3">
        <v>38.299999999999997</v>
      </c>
      <c r="Q187" s="9">
        <f t="shared" si="15"/>
        <v>10.766999999999999</v>
      </c>
      <c r="R187" s="10">
        <f t="shared" si="16"/>
        <v>845.93141806078654</v>
      </c>
      <c r="S187" s="11">
        <f t="shared" si="17"/>
        <v>754.62213921568821</v>
      </c>
      <c r="T187" s="7">
        <v>69.900000000000006</v>
      </c>
      <c r="U187" s="7">
        <v>46.7</v>
      </c>
      <c r="V187" s="4"/>
    </row>
    <row r="188" spans="1:22" x14ac:dyDescent="0.25">
      <c r="A188" s="4">
        <v>2023</v>
      </c>
      <c r="B188" s="3" t="s">
        <v>201</v>
      </c>
      <c r="C188" s="3" t="s">
        <v>202</v>
      </c>
      <c r="D188" s="3" t="s">
        <v>203</v>
      </c>
      <c r="E188" s="3" t="s">
        <v>204</v>
      </c>
      <c r="F188" s="3" t="s">
        <v>209</v>
      </c>
      <c r="G188" s="3">
        <v>212</v>
      </c>
      <c r="H188" s="3">
        <v>2</v>
      </c>
      <c r="I188" s="3">
        <v>12</v>
      </c>
      <c r="J188" s="3">
        <v>3</v>
      </c>
      <c r="K188" s="3">
        <v>2</v>
      </c>
      <c r="L188" s="2" t="s">
        <v>100</v>
      </c>
      <c r="M188" s="2" t="s">
        <v>657</v>
      </c>
      <c r="N188" s="3">
        <v>11.19</v>
      </c>
      <c r="O188" s="3">
        <v>18.100000000000001</v>
      </c>
      <c r="P188" s="3">
        <v>39.200000000000003</v>
      </c>
      <c r="Q188" s="9">
        <f t="shared" si="15"/>
        <v>10.414329545454546</v>
      </c>
      <c r="R188" s="10">
        <f t="shared" si="16"/>
        <v>818.22314112925699</v>
      </c>
      <c r="S188" s="11">
        <f t="shared" si="17"/>
        <v>729.90467540522479</v>
      </c>
      <c r="T188" s="7">
        <v>68.8</v>
      </c>
      <c r="U188" s="7">
        <v>42.1</v>
      </c>
      <c r="V188" s="4"/>
    </row>
    <row r="189" spans="1:22" x14ac:dyDescent="0.25">
      <c r="A189" s="4">
        <v>2023</v>
      </c>
      <c r="B189" s="3" t="s">
        <v>201</v>
      </c>
      <c r="C189" s="3" t="s">
        <v>202</v>
      </c>
      <c r="D189" s="3" t="s">
        <v>203</v>
      </c>
      <c r="E189" s="3" t="s">
        <v>204</v>
      </c>
      <c r="F189" s="3" t="s">
        <v>210</v>
      </c>
      <c r="G189" s="3">
        <v>213</v>
      </c>
      <c r="H189" s="3">
        <v>2</v>
      </c>
      <c r="I189" s="3">
        <v>13</v>
      </c>
      <c r="J189" s="3">
        <v>3</v>
      </c>
      <c r="K189" s="3">
        <v>4</v>
      </c>
      <c r="L189" s="2" t="s">
        <v>56</v>
      </c>
      <c r="M189" s="2" t="s">
        <v>658</v>
      </c>
      <c r="N189" s="3">
        <v>10.52</v>
      </c>
      <c r="O189" s="3">
        <v>16.5</v>
      </c>
      <c r="P189" s="3">
        <v>39.5</v>
      </c>
      <c r="Q189" s="9">
        <f t="shared" si="15"/>
        <v>9.9820454545454531</v>
      </c>
      <c r="R189" s="10">
        <f t="shared" si="16"/>
        <v>784.25985571755018</v>
      </c>
      <c r="S189" s="11">
        <f t="shared" si="17"/>
        <v>699.60736460084763</v>
      </c>
      <c r="T189" s="7">
        <v>69.400000000000006</v>
      </c>
      <c r="U189" s="7">
        <v>45.4</v>
      </c>
      <c r="V189" s="4"/>
    </row>
    <row r="190" spans="1:22" x14ac:dyDescent="0.25">
      <c r="A190" s="4">
        <v>2023</v>
      </c>
      <c r="B190" s="3" t="s">
        <v>201</v>
      </c>
      <c r="C190" s="3" t="s">
        <v>202</v>
      </c>
      <c r="D190" s="3" t="s">
        <v>203</v>
      </c>
      <c r="E190" s="3" t="s">
        <v>204</v>
      </c>
      <c r="F190" s="3" t="s">
        <v>211</v>
      </c>
      <c r="G190" s="3">
        <v>214</v>
      </c>
      <c r="H190" s="3">
        <v>2</v>
      </c>
      <c r="I190" s="3">
        <v>14</v>
      </c>
      <c r="J190" s="3">
        <v>3</v>
      </c>
      <c r="K190" s="3">
        <v>5</v>
      </c>
      <c r="L190" s="2" t="s">
        <v>56</v>
      </c>
      <c r="M190" s="2" t="s">
        <v>657</v>
      </c>
      <c r="N190" s="3">
        <v>10.48</v>
      </c>
      <c r="O190" s="3">
        <v>17.7</v>
      </c>
      <c r="P190" s="3">
        <v>41.3</v>
      </c>
      <c r="Q190" s="9">
        <f t="shared" si="15"/>
        <v>9.8011818181818189</v>
      </c>
      <c r="R190" s="10">
        <f t="shared" si="16"/>
        <v>770.04993351222652</v>
      </c>
      <c r="S190" s="11">
        <f t="shared" si="17"/>
        <v>686.93125201804332</v>
      </c>
      <c r="T190" s="7">
        <v>70</v>
      </c>
      <c r="U190" s="7">
        <v>52.9</v>
      </c>
      <c r="V190" s="4"/>
    </row>
    <row r="191" spans="1:22" x14ac:dyDescent="0.25">
      <c r="A191" s="4">
        <v>2023</v>
      </c>
      <c r="B191" s="3" t="s">
        <v>201</v>
      </c>
      <c r="C191" s="3" t="s">
        <v>202</v>
      </c>
      <c r="D191" s="3" t="s">
        <v>203</v>
      </c>
      <c r="E191" s="3" t="s">
        <v>204</v>
      </c>
      <c r="F191" s="3" t="s">
        <v>212</v>
      </c>
      <c r="G191" s="3">
        <v>215</v>
      </c>
      <c r="H191" s="3">
        <v>2</v>
      </c>
      <c r="I191" s="3">
        <v>15</v>
      </c>
      <c r="J191" s="3">
        <v>3</v>
      </c>
      <c r="K191" s="3">
        <v>8</v>
      </c>
      <c r="L191" s="2" t="s">
        <v>69</v>
      </c>
      <c r="M191" s="2" t="s">
        <v>657</v>
      </c>
      <c r="N191" s="3">
        <v>12.87</v>
      </c>
      <c r="O191" s="3">
        <v>16.8</v>
      </c>
      <c r="P191" s="3">
        <v>38.799999999999997</v>
      </c>
      <c r="Q191" s="9">
        <f t="shared" si="15"/>
        <v>12.167999999999999</v>
      </c>
      <c r="R191" s="10">
        <f t="shared" si="16"/>
        <v>956.00385390207578</v>
      </c>
      <c r="S191" s="11">
        <f t="shared" si="17"/>
        <v>852.81342899382321</v>
      </c>
      <c r="T191" s="7">
        <v>67.7</v>
      </c>
      <c r="U191" s="7">
        <v>39.299999999999997</v>
      </c>
      <c r="V191" s="4"/>
    </row>
    <row r="192" spans="1:22" x14ac:dyDescent="0.25">
      <c r="A192" s="4">
        <v>2023</v>
      </c>
      <c r="B192" s="3" t="s">
        <v>201</v>
      </c>
      <c r="C192" s="3" t="s">
        <v>202</v>
      </c>
      <c r="D192" s="3" t="s">
        <v>203</v>
      </c>
      <c r="E192" s="3" t="s">
        <v>204</v>
      </c>
      <c r="F192" s="3" t="s">
        <v>213</v>
      </c>
      <c r="G192" s="3">
        <v>301</v>
      </c>
      <c r="H192" s="3">
        <v>3</v>
      </c>
      <c r="I192" s="3">
        <v>1</v>
      </c>
      <c r="J192" s="3">
        <v>1</v>
      </c>
      <c r="K192" s="3">
        <v>8</v>
      </c>
      <c r="L192" s="2" t="s">
        <v>69</v>
      </c>
      <c r="M192" s="2" t="s">
        <v>657</v>
      </c>
      <c r="N192" s="3">
        <v>11.18</v>
      </c>
      <c r="O192" s="3">
        <v>17.600000000000001</v>
      </c>
      <c r="P192" s="3">
        <v>37.299999999999997</v>
      </c>
      <c r="Q192" s="9">
        <f t="shared" si="15"/>
        <v>10.468545454545454</v>
      </c>
      <c r="R192" s="10">
        <f t="shared" si="16"/>
        <v>822.48272512282313</v>
      </c>
      <c r="S192" s="11">
        <f t="shared" si="17"/>
        <v>733.70448271438283</v>
      </c>
      <c r="T192" s="7">
        <v>66.599999999999994</v>
      </c>
      <c r="U192" s="7">
        <v>37.4</v>
      </c>
      <c r="V192" s="4"/>
    </row>
    <row r="193" spans="1:22" x14ac:dyDescent="0.25">
      <c r="A193" s="4">
        <v>2023</v>
      </c>
      <c r="B193" s="3" t="s">
        <v>201</v>
      </c>
      <c r="C193" s="3" t="s">
        <v>202</v>
      </c>
      <c r="D193" s="3" t="s">
        <v>203</v>
      </c>
      <c r="E193" s="3" t="s">
        <v>204</v>
      </c>
      <c r="F193" s="3" t="s">
        <v>214</v>
      </c>
      <c r="G193" s="3">
        <v>302</v>
      </c>
      <c r="H193" s="3">
        <v>3</v>
      </c>
      <c r="I193" s="3">
        <v>2</v>
      </c>
      <c r="J193" s="3">
        <v>1</v>
      </c>
      <c r="K193" s="3">
        <v>9</v>
      </c>
      <c r="L193" s="2" t="s">
        <v>69</v>
      </c>
      <c r="M193" s="2" t="s">
        <v>656</v>
      </c>
      <c r="N193" s="3">
        <v>11.03</v>
      </c>
      <c r="O193" s="3">
        <v>19.5</v>
      </c>
      <c r="P193" s="3">
        <v>38.1</v>
      </c>
      <c r="Q193" s="9">
        <f t="shared" si="15"/>
        <v>10.089943181818182</v>
      </c>
      <c r="R193" s="10">
        <f t="shared" si="16"/>
        <v>792.73706175798441</v>
      </c>
      <c r="S193" s="11">
        <f t="shared" si="17"/>
        <v>707.1695466172921</v>
      </c>
      <c r="T193" s="7">
        <v>66</v>
      </c>
      <c r="U193" s="7">
        <v>42.3</v>
      </c>
      <c r="V193" s="4"/>
    </row>
    <row r="194" spans="1:22" x14ac:dyDescent="0.25">
      <c r="A194" s="4">
        <v>2023</v>
      </c>
      <c r="B194" s="3" t="s">
        <v>201</v>
      </c>
      <c r="C194" s="3" t="s">
        <v>202</v>
      </c>
      <c r="D194" s="3" t="s">
        <v>203</v>
      </c>
      <c r="E194" s="3" t="s">
        <v>204</v>
      </c>
      <c r="F194" s="3" t="s">
        <v>215</v>
      </c>
      <c r="G194" s="3">
        <v>303</v>
      </c>
      <c r="H194" s="3">
        <v>3</v>
      </c>
      <c r="I194" s="3">
        <v>3</v>
      </c>
      <c r="J194" s="3">
        <v>1</v>
      </c>
      <c r="K194" s="3">
        <v>17</v>
      </c>
      <c r="L194" s="2" t="s">
        <v>42</v>
      </c>
      <c r="M194" s="2" t="s">
        <v>657</v>
      </c>
      <c r="N194" s="3">
        <v>8.3800000000000008</v>
      </c>
      <c r="O194" s="3">
        <v>19.100000000000001</v>
      </c>
      <c r="P194" s="3">
        <v>37.700000000000003</v>
      </c>
      <c r="Q194" s="9">
        <f t="shared" si="15"/>
        <v>7.7038863636363635</v>
      </c>
      <c r="R194" s="10">
        <f t="shared" si="16"/>
        <v>605.27161847961963</v>
      </c>
      <c r="S194" s="11">
        <f t="shared" si="17"/>
        <v>539.93899953578909</v>
      </c>
      <c r="T194" s="7">
        <v>69</v>
      </c>
      <c r="U194" s="7">
        <v>59.2</v>
      </c>
      <c r="V194" s="4"/>
    </row>
    <row r="195" spans="1:22" x14ac:dyDescent="0.25">
      <c r="A195" s="4">
        <v>2023</v>
      </c>
      <c r="B195" s="3" t="s">
        <v>201</v>
      </c>
      <c r="C195" s="3" t="s">
        <v>202</v>
      </c>
      <c r="D195" s="3" t="s">
        <v>203</v>
      </c>
      <c r="E195" s="3" t="s">
        <v>204</v>
      </c>
      <c r="F195" s="3" t="s">
        <v>216</v>
      </c>
      <c r="G195" s="3">
        <v>304</v>
      </c>
      <c r="H195" s="3">
        <v>3</v>
      </c>
      <c r="I195" s="3">
        <v>4</v>
      </c>
      <c r="J195" s="3">
        <v>1</v>
      </c>
      <c r="K195" s="3">
        <v>12</v>
      </c>
      <c r="L195" s="2" t="s">
        <v>27</v>
      </c>
      <c r="M195" s="2" t="s">
        <v>656</v>
      </c>
      <c r="N195" s="3">
        <v>7.34</v>
      </c>
      <c r="O195" s="3">
        <v>20.8</v>
      </c>
      <c r="P195" s="3">
        <v>39.299999999999997</v>
      </c>
      <c r="Q195" s="9">
        <f t="shared" si="15"/>
        <v>6.6059999999999999</v>
      </c>
      <c r="R195" s="10">
        <f t="shared" si="16"/>
        <v>519.01392660068313</v>
      </c>
      <c r="S195" s="11">
        <f t="shared" si="17"/>
        <v>462.9919059774158</v>
      </c>
      <c r="T195" s="7">
        <v>71.900000000000006</v>
      </c>
      <c r="U195" s="7">
        <v>59.2</v>
      </c>
      <c r="V195" s="4"/>
    </row>
    <row r="196" spans="1:22" x14ac:dyDescent="0.25">
      <c r="A196" s="4">
        <v>2023</v>
      </c>
      <c r="B196" s="3" t="s">
        <v>201</v>
      </c>
      <c r="C196" s="3" t="s">
        <v>202</v>
      </c>
      <c r="D196" s="3" t="s">
        <v>203</v>
      </c>
      <c r="E196" s="3" t="s">
        <v>204</v>
      </c>
      <c r="F196" s="3" t="s">
        <v>217</v>
      </c>
      <c r="G196" s="3">
        <v>305</v>
      </c>
      <c r="H196" s="3">
        <v>3</v>
      </c>
      <c r="I196" s="3">
        <v>5</v>
      </c>
      <c r="J196" s="3">
        <v>1</v>
      </c>
      <c r="K196" s="3">
        <v>7</v>
      </c>
      <c r="L196" s="2" t="s">
        <v>69</v>
      </c>
      <c r="M196" s="2" t="s">
        <v>658</v>
      </c>
      <c r="N196" s="3">
        <v>10.98</v>
      </c>
      <c r="O196" s="3">
        <v>16.600000000000001</v>
      </c>
      <c r="P196" s="3">
        <v>39</v>
      </c>
      <c r="Q196" s="9">
        <f t="shared" si="15"/>
        <v>10.406045454545454</v>
      </c>
      <c r="R196" s="10">
        <f t="shared" si="16"/>
        <v>817.57228455174493</v>
      </c>
      <c r="S196" s="11">
        <f t="shared" si="17"/>
        <v>729.32407185704278</v>
      </c>
      <c r="T196" s="7">
        <v>67.400000000000006</v>
      </c>
      <c r="U196" s="7">
        <v>37</v>
      </c>
      <c r="V196" s="4"/>
    </row>
    <row r="197" spans="1:22" x14ac:dyDescent="0.25">
      <c r="A197" s="4">
        <v>2023</v>
      </c>
      <c r="B197" s="3" t="s">
        <v>201</v>
      </c>
      <c r="C197" s="3" t="s">
        <v>202</v>
      </c>
      <c r="D197" s="3" t="s">
        <v>203</v>
      </c>
      <c r="E197" s="3" t="s">
        <v>204</v>
      </c>
      <c r="F197" s="3" t="s">
        <v>218</v>
      </c>
      <c r="G197" s="3">
        <v>306</v>
      </c>
      <c r="H197" s="3">
        <v>3</v>
      </c>
      <c r="I197" s="3">
        <v>6</v>
      </c>
      <c r="J197" s="3">
        <v>2</v>
      </c>
      <c r="K197" s="3">
        <v>8</v>
      </c>
      <c r="L197" s="2" t="s">
        <v>69</v>
      </c>
      <c r="M197" s="2" t="s">
        <v>657</v>
      </c>
      <c r="N197" s="3">
        <v>11.82</v>
      </c>
      <c r="O197" s="3">
        <v>17.8</v>
      </c>
      <c r="P197" s="3">
        <v>38.700000000000003</v>
      </c>
      <c r="Q197" s="9">
        <f t="shared" si="15"/>
        <v>11.040954545454545</v>
      </c>
      <c r="R197" s="10">
        <f t="shared" si="16"/>
        <v>867.455218294887</v>
      </c>
      <c r="S197" s="11">
        <f t="shared" si="17"/>
        <v>773.82267466091616</v>
      </c>
      <c r="T197" s="7">
        <v>67.400000000000006</v>
      </c>
      <c r="U197" s="7">
        <v>41.4</v>
      </c>
      <c r="V197" s="4"/>
    </row>
    <row r="198" spans="1:22" x14ac:dyDescent="0.25">
      <c r="A198" s="4">
        <v>2023</v>
      </c>
      <c r="B198" s="3" t="s">
        <v>201</v>
      </c>
      <c r="C198" s="3" t="s">
        <v>202</v>
      </c>
      <c r="D198" s="3" t="s">
        <v>203</v>
      </c>
      <c r="E198" s="3" t="s">
        <v>204</v>
      </c>
      <c r="F198" s="3" t="s">
        <v>219</v>
      </c>
      <c r="G198" s="3">
        <v>307</v>
      </c>
      <c r="H198" s="3">
        <v>3</v>
      </c>
      <c r="I198" s="3">
        <v>7</v>
      </c>
      <c r="J198" s="3">
        <v>2</v>
      </c>
      <c r="K198" s="3">
        <v>16</v>
      </c>
      <c r="L198" s="2" t="s">
        <v>42</v>
      </c>
      <c r="M198" s="2" t="s">
        <v>658</v>
      </c>
      <c r="N198" s="3">
        <v>9.0399999999999991</v>
      </c>
      <c r="O198" s="3">
        <v>18.399999999999999</v>
      </c>
      <c r="P198" s="3">
        <v>38.799999999999997</v>
      </c>
      <c r="Q198" s="9">
        <f t="shared" si="15"/>
        <v>8.3825454545454541</v>
      </c>
      <c r="R198" s="10">
        <f t="shared" si="16"/>
        <v>658.59186062251661</v>
      </c>
      <c r="S198" s="11">
        <f t="shared" si="17"/>
        <v>587.50388993980073</v>
      </c>
      <c r="T198" s="7">
        <v>69.8</v>
      </c>
      <c r="U198" s="7">
        <v>59.5</v>
      </c>
      <c r="V198" s="4"/>
    </row>
    <row r="199" spans="1:22" x14ac:dyDescent="0.25">
      <c r="A199" s="4">
        <v>2023</v>
      </c>
      <c r="B199" s="3" t="s">
        <v>201</v>
      </c>
      <c r="C199" s="3" t="s">
        <v>202</v>
      </c>
      <c r="D199" s="3" t="s">
        <v>203</v>
      </c>
      <c r="E199" s="3" t="s">
        <v>204</v>
      </c>
      <c r="F199" s="3" t="s">
        <v>220</v>
      </c>
      <c r="G199" s="3">
        <v>308</v>
      </c>
      <c r="H199" s="3">
        <v>3</v>
      </c>
      <c r="I199" s="3">
        <v>8</v>
      </c>
      <c r="J199" s="3">
        <v>2</v>
      </c>
      <c r="K199" s="3">
        <v>7</v>
      </c>
      <c r="L199" s="2" t="s">
        <v>69</v>
      </c>
      <c r="M199" s="2" t="s">
        <v>658</v>
      </c>
      <c r="N199" s="3">
        <v>11.86</v>
      </c>
      <c r="O199" s="3">
        <v>16.2</v>
      </c>
      <c r="P199" s="3">
        <v>36.5</v>
      </c>
      <c r="Q199" s="9">
        <f t="shared" si="15"/>
        <v>11.293954545454545</v>
      </c>
      <c r="R199" s="10">
        <f t="shared" si="16"/>
        <v>887.33268172661178</v>
      </c>
      <c r="S199" s="11">
        <f t="shared" si="17"/>
        <v>791.55457781142889</v>
      </c>
      <c r="T199" s="7">
        <v>67</v>
      </c>
      <c r="U199" s="7">
        <v>37.4</v>
      </c>
      <c r="V199" s="4"/>
    </row>
    <row r="200" spans="1:22" x14ac:dyDescent="0.25">
      <c r="A200" s="4">
        <v>2023</v>
      </c>
      <c r="B200" s="3" t="s">
        <v>201</v>
      </c>
      <c r="C200" s="3" t="s">
        <v>202</v>
      </c>
      <c r="D200" s="3" t="s">
        <v>203</v>
      </c>
      <c r="E200" s="3" t="s">
        <v>204</v>
      </c>
      <c r="F200" s="3" t="s">
        <v>221</v>
      </c>
      <c r="G200" s="3">
        <v>309</v>
      </c>
      <c r="H200" s="3">
        <v>3</v>
      </c>
      <c r="I200" s="3">
        <v>9</v>
      </c>
      <c r="J200" s="3">
        <v>2</v>
      </c>
      <c r="K200" s="3">
        <v>17</v>
      </c>
      <c r="L200" s="2" t="s">
        <v>42</v>
      </c>
      <c r="M200" s="2" t="s">
        <v>657</v>
      </c>
      <c r="N200" s="3">
        <v>9.9600000000000009</v>
      </c>
      <c r="O200" s="3">
        <v>20.3</v>
      </c>
      <c r="P200" s="3">
        <v>39.799999999999997</v>
      </c>
      <c r="Q200" s="9">
        <f t="shared" si="15"/>
        <v>9.0205909090909078</v>
      </c>
      <c r="R200" s="10">
        <f t="shared" si="16"/>
        <v>708.72120920158909</v>
      </c>
      <c r="S200" s="11">
        <f t="shared" si="17"/>
        <v>632.22230972487876</v>
      </c>
      <c r="T200" s="7">
        <v>70</v>
      </c>
      <c r="U200" s="7">
        <v>60.4</v>
      </c>
      <c r="V200" s="4"/>
    </row>
    <row r="201" spans="1:22" x14ac:dyDescent="0.25">
      <c r="A201" s="4">
        <v>2023</v>
      </c>
      <c r="B201" s="3" t="s">
        <v>201</v>
      </c>
      <c r="C201" s="3" t="s">
        <v>202</v>
      </c>
      <c r="D201" s="3" t="s">
        <v>203</v>
      </c>
      <c r="E201" s="3" t="s">
        <v>204</v>
      </c>
      <c r="F201" s="3" t="s">
        <v>222</v>
      </c>
      <c r="G201" s="3">
        <v>310</v>
      </c>
      <c r="H201" s="3">
        <v>3</v>
      </c>
      <c r="I201" s="3">
        <v>10</v>
      </c>
      <c r="J201" s="3">
        <v>2</v>
      </c>
      <c r="K201" s="3">
        <v>18</v>
      </c>
      <c r="L201" s="2" t="s">
        <v>42</v>
      </c>
      <c r="M201" s="2" t="s">
        <v>656</v>
      </c>
      <c r="N201" s="3">
        <v>8.98</v>
      </c>
      <c r="O201" s="3">
        <v>20.100000000000001</v>
      </c>
      <c r="P201" s="3">
        <v>39.299999999999997</v>
      </c>
      <c r="Q201" s="9">
        <f t="shared" si="15"/>
        <v>8.1534318181818186</v>
      </c>
      <c r="R201" s="10">
        <f t="shared" si="16"/>
        <v>640.59107829632057</v>
      </c>
      <c r="S201" s="11">
        <f t="shared" si="17"/>
        <v>571.44610017512991</v>
      </c>
      <c r="T201" s="7">
        <v>70.2</v>
      </c>
      <c r="U201" s="7">
        <v>62.7</v>
      </c>
      <c r="V201" s="4"/>
    </row>
    <row r="202" spans="1:22" x14ac:dyDescent="0.25">
      <c r="A202" s="4">
        <v>2023</v>
      </c>
      <c r="B202" s="3" t="s">
        <v>201</v>
      </c>
      <c r="C202" s="3" t="s">
        <v>202</v>
      </c>
      <c r="D202" s="3" t="s">
        <v>203</v>
      </c>
      <c r="E202" s="3" t="s">
        <v>204</v>
      </c>
      <c r="F202" s="3" t="s">
        <v>223</v>
      </c>
      <c r="G202" s="3">
        <v>311</v>
      </c>
      <c r="H202" s="3">
        <v>3</v>
      </c>
      <c r="I202" s="3">
        <v>11</v>
      </c>
      <c r="J202" s="3">
        <v>3</v>
      </c>
      <c r="K202" s="3">
        <v>14</v>
      </c>
      <c r="L202" s="2" t="s">
        <v>87</v>
      </c>
      <c r="M202" s="2" t="s">
        <v>657</v>
      </c>
      <c r="N202" s="3">
        <v>8.1999999999999993</v>
      </c>
      <c r="O202" s="3">
        <v>15.1</v>
      </c>
      <c r="P202" s="3">
        <v>36.299999999999997</v>
      </c>
      <c r="Q202" s="9">
        <f t="shared" si="15"/>
        <v>7.9111363636363627</v>
      </c>
      <c r="R202" s="10">
        <f t="shared" si="16"/>
        <v>621.55463941331504</v>
      </c>
      <c r="S202" s="11">
        <f t="shared" si="17"/>
        <v>554.4644419387289</v>
      </c>
      <c r="T202" s="7">
        <v>68.7</v>
      </c>
      <c r="U202" s="7">
        <v>33</v>
      </c>
      <c r="V202" s="4"/>
    </row>
    <row r="203" spans="1:22" x14ac:dyDescent="0.25">
      <c r="A203" s="4">
        <v>2023</v>
      </c>
      <c r="B203" s="3" t="s">
        <v>201</v>
      </c>
      <c r="C203" s="3" t="s">
        <v>202</v>
      </c>
      <c r="D203" s="3" t="s">
        <v>203</v>
      </c>
      <c r="E203" s="3" t="s">
        <v>204</v>
      </c>
      <c r="F203" s="3" t="s">
        <v>224</v>
      </c>
      <c r="G203" s="3">
        <v>312</v>
      </c>
      <c r="H203" s="3">
        <v>3</v>
      </c>
      <c r="I203" s="3">
        <v>12</v>
      </c>
      <c r="J203" s="3">
        <v>3</v>
      </c>
      <c r="K203" s="3">
        <v>15</v>
      </c>
      <c r="L203" s="2" t="s">
        <v>87</v>
      </c>
      <c r="M203" s="2" t="s">
        <v>656</v>
      </c>
      <c r="N203" s="3">
        <v>7.91</v>
      </c>
      <c r="O203" s="3">
        <v>15.1</v>
      </c>
      <c r="P203" s="3">
        <v>35</v>
      </c>
      <c r="Q203" s="9">
        <f t="shared" si="15"/>
        <v>7.6313522727272725</v>
      </c>
      <c r="R203" s="10">
        <f t="shared" si="16"/>
        <v>599.57282899503923</v>
      </c>
      <c r="S203" s="11">
        <f t="shared" si="17"/>
        <v>534.85533362626154</v>
      </c>
      <c r="T203" s="7">
        <v>68.099999999999994</v>
      </c>
      <c r="U203" s="7">
        <v>34.1</v>
      </c>
      <c r="V203" s="4"/>
    </row>
    <row r="204" spans="1:22" x14ac:dyDescent="0.25">
      <c r="A204" s="4">
        <v>2023</v>
      </c>
      <c r="B204" s="3" t="s">
        <v>201</v>
      </c>
      <c r="C204" s="3" t="s">
        <v>202</v>
      </c>
      <c r="D204" s="3" t="s">
        <v>203</v>
      </c>
      <c r="E204" s="3" t="s">
        <v>204</v>
      </c>
      <c r="F204" s="3" t="s">
        <v>225</v>
      </c>
      <c r="G204" s="3">
        <v>313</v>
      </c>
      <c r="H204" s="3">
        <v>3</v>
      </c>
      <c r="I204" s="3">
        <v>13</v>
      </c>
      <c r="J204" s="3">
        <v>3</v>
      </c>
      <c r="K204" s="3">
        <v>11</v>
      </c>
      <c r="L204" s="2" t="s">
        <v>27</v>
      </c>
      <c r="M204" s="2" t="s">
        <v>657</v>
      </c>
      <c r="N204" s="3">
        <v>8.1999999999999993</v>
      </c>
      <c r="O204" s="3">
        <v>19.600000000000001</v>
      </c>
      <c r="P204" s="3">
        <v>39.200000000000003</v>
      </c>
      <c r="Q204" s="9">
        <f t="shared" si="15"/>
        <v>7.4918181818181813</v>
      </c>
      <c r="R204" s="10">
        <f t="shared" si="16"/>
        <v>588.61004721826293</v>
      </c>
      <c r="S204" s="11">
        <f t="shared" si="17"/>
        <v>525.07586727766545</v>
      </c>
      <c r="T204" s="7">
        <v>71.8</v>
      </c>
      <c r="U204" s="7">
        <v>59.9</v>
      </c>
      <c r="V204" s="4"/>
    </row>
    <row r="205" spans="1:22" x14ac:dyDescent="0.25">
      <c r="A205" s="4">
        <v>2023</v>
      </c>
      <c r="B205" s="3" t="s">
        <v>201</v>
      </c>
      <c r="C205" s="3" t="s">
        <v>202</v>
      </c>
      <c r="D205" s="3" t="s">
        <v>203</v>
      </c>
      <c r="E205" s="3" t="s">
        <v>204</v>
      </c>
      <c r="F205" s="3" t="s">
        <v>226</v>
      </c>
      <c r="G205" s="3">
        <v>314</v>
      </c>
      <c r="H205" s="3">
        <v>3</v>
      </c>
      <c r="I205" s="3">
        <v>14</v>
      </c>
      <c r="J205" s="3">
        <v>3</v>
      </c>
      <c r="K205" s="3">
        <v>17</v>
      </c>
      <c r="L205" s="2" t="s">
        <v>42</v>
      </c>
      <c r="M205" s="2" t="s">
        <v>657</v>
      </c>
      <c r="N205" s="3">
        <v>9.2899999999999991</v>
      </c>
      <c r="O205" s="3">
        <v>19.3</v>
      </c>
      <c r="P205" s="3">
        <v>38.5</v>
      </c>
      <c r="Q205" s="9">
        <f t="shared" si="15"/>
        <v>8.5193522727272715</v>
      </c>
      <c r="R205" s="10">
        <f t="shared" si="16"/>
        <v>669.34036862891855</v>
      </c>
      <c r="S205" s="11">
        <f t="shared" si="17"/>
        <v>597.09221108734926</v>
      </c>
      <c r="T205" s="7">
        <v>69.2</v>
      </c>
      <c r="U205" s="7">
        <v>58.1</v>
      </c>
      <c r="V205" s="4"/>
    </row>
    <row r="206" spans="1:22" x14ac:dyDescent="0.25">
      <c r="A206" s="4">
        <v>2023</v>
      </c>
      <c r="B206" s="3" t="s">
        <v>201</v>
      </c>
      <c r="C206" s="3" t="s">
        <v>202</v>
      </c>
      <c r="D206" s="3" t="s">
        <v>203</v>
      </c>
      <c r="E206" s="3" t="s">
        <v>204</v>
      </c>
      <c r="F206" s="3" t="s">
        <v>227</v>
      </c>
      <c r="G206" s="3">
        <v>315</v>
      </c>
      <c r="H206" s="3">
        <v>3</v>
      </c>
      <c r="I206" s="3">
        <v>15</v>
      </c>
      <c r="J206" s="3">
        <v>3</v>
      </c>
      <c r="K206" s="3">
        <v>10</v>
      </c>
      <c r="L206" s="2" t="s">
        <v>27</v>
      </c>
      <c r="M206" s="2" t="s">
        <v>658</v>
      </c>
      <c r="N206" s="3">
        <v>7.12</v>
      </c>
      <c r="O206" s="3">
        <v>17.399999999999999</v>
      </c>
      <c r="P206" s="3">
        <v>36.5</v>
      </c>
      <c r="Q206" s="9">
        <f t="shared" si="15"/>
        <v>6.6830909090909092</v>
      </c>
      <c r="R206" s="10">
        <f t="shared" si="16"/>
        <v>525.07073184326396</v>
      </c>
      <c r="S206" s="11">
        <f t="shared" si="17"/>
        <v>468.39494366036035</v>
      </c>
      <c r="T206" s="7">
        <v>70.900000000000006</v>
      </c>
      <c r="U206" s="7">
        <v>54.8</v>
      </c>
      <c r="V206" s="4"/>
    </row>
    <row r="207" spans="1:22" x14ac:dyDescent="0.25">
      <c r="A207" s="4">
        <v>2023</v>
      </c>
      <c r="B207" s="3" t="s">
        <v>201</v>
      </c>
      <c r="C207" s="3" t="s">
        <v>202</v>
      </c>
      <c r="D207" s="3" t="s">
        <v>203</v>
      </c>
      <c r="E207" s="3" t="s">
        <v>204</v>
      </c>
      <c r="F207" s="3" t="s">
        <v>228</v>
      </c>
      <c r="G207" s="3">
        <v>401</v>
      </c>
      <c r="H207" s="3">
        <v>4</v>
      </c>
      <c r="I207" s="3">
        <v>1</v>
      </c>
      <c r="J207" s="3">
        <v>1</v>
      </c>
      <c r="K207" s="3">
        <v>1</v>
      </c>
      <c r="L207" s="2" t="s">
        <v>100</v>
      </c>
      <c r="M207" s="2" t="s">
        <v>658</v>
      </c>
      <c r="N207" s="3">
        <v>7.57</v>
      </c>
      <c r="O207" s="3">
        <v>15.2</v>
      </c>
      <c r="P207" s="3">
        <v>32.6</v>
      </c>
      <c r="Q207" s="9">
        <f t="shared" si="15"/>
        <v>7.2947272727272727</v>
      </c>
      <c r="R207" s="10">
        <f t="shared" si="16"/>
        <v>573.12519607921183</v>
      </c>
      <c r="S207" s="11">
        <f t="shared" si="17"/>
        <v>511.26244074862785</v>
      </c>
      <c r="T207" s="7">
        <v>61.1</v>
      </c>
      <c r="U207" s="7">
        <v>28.5</v>
      </c>
      <c r="V207" s="4"/>
    </row>
    <row r="208" spans="1:22" x14ac:dyDescent="0.25">
      <c r="A208" s="4">
        <v>2023</v>
      </c>
      <c r="B208" s="3" t="s">
        <v>201</v>
      </c>
      <c r="C208" s="3" t="s">
        <v>202</v>
      </c>
      <c r="D208" s="3" t="s">
        <v>203</v>
      </c>
      <c r="E208" s="3" t="s">
        <v>204</v>
      </c>
      <c r="F208" s="3" t="s">
        <v>229</v>
      </c>
      <c r="G208" s="3">
        <v>402</v>
      </c>
      <c r="H208" s="3">
        <v>4</v>
      </c>
      <c r="I208" s="3">
        <v>2</v>
      </c>
      <c r="J208" s="3">
        <v>1</v>
      </c>
      <c r="K208" s="3">
        <v>19</v>
      </c>
      <c r="L208" s="2" t="s">
        <v>113</v>
      </c>
      <c r="M208" s="2" t="s">
        <v>658</v>
      </c>
      <c r="N208" s="3">
        <v>6.59</v>
      </c>
      <c r="O208" s="3">
        <v>17.2</v>
      </c>
      <c r="P208" s="3">
        <v>32.1</v>
      </c>
      <c r="Q208" s="9">
        <f t="shared" si="15"/>
        <v>6.2005909090909093</v>
      </c>
      <c r="R208" s="10">
        <f t="shared" si="16"/>
        <v>487.16213063454018</v>
      </c>
      <c r="S208" s="11">
        <f t="shared" si="17"/>
        <v>434.57817184169505</v>
      </c>
      <c r="T208" s="7">
        <v>63.4</v>
      </c>
      <c r="U208" s="7">
        <v>44.2</v>
      </c>
      <c r="V208" s="4"/>
    </row>
    <row r="209" spans="1:22" x14ac:dyDescent="0.25">
      <c r="A209" s="4">
        <v>2023</v>
      </c>
      <c r="B209" s="3" t="s">
        <v>201</v>
      </c>
      <c r="C209" s="3" t="s">
        <v>202</v>
      </c>
      <c r="D209" s="3" t="s">
        <v>203</v>
      </c>
      <c r="E209" s="3" t="s">
        <v>204</v>
      </c>
      <c r="F209" s="3" t="s">
        <v>230</v>
      </c>
      <c r="G209" s="3">
        <v>403</v>
      </c>
      <c r="H209" s="3">
        <v>4</v>
      </c>
      <c r="I209" s="3">
        <v>3</v>
      </c>
      <c r="J209" s="3">
        <v>1</v>
      </c>
      <c r="K209" s="3">
        <v>18</v>
      </c>
      <c r="L209" s="2" t="s">
        <v>42</v>
      </c>
      <c r="M209" s="2" t="s">
        <v>656</v>
      </c>
      <c r="N209" s="3">
        <v>6.35</v>
      </c>
      <c r="O209" s="3">
        <v>18.7</v>
      </c>
      <c r="P209" s="3">
        <v>35.799999999999997</v>
      </c>
      <c r="Q209" s="9">
        <f t="shared" si="15"/>
        <v>5.8665340909090906</v>
      </c>
      <c r="R209" s="10">
        <f t="shared" si="16"/>
        <v>460.91627218581527</v>
      </c>
      <c r="S209" s="11">
        <f t="shared" si="17"/>
        <v>411.16527402838113</v>
      </c>
      <c r="T209" s="7">
        <v>66</v>
      </c>
      <c r="U209" s="7">
        <v>53.3</v>
      </c>
      <c r="V209" s="4"/>
    </row>
    <row r="210" spans="1:22" x14ac:dyDescent="0.25">
      <c r="A210" s="4">
        <v>2023</v>
      </c>
      <c r="B210" s="3" t="s">
        <v>201</v>
      </c>
      <c r="C210" s="3" t="s">
        <v>202</v>
      </c>
      <c r="D210" s="3" t="s">
        <v>203</v>
      </c>
      <c r="E210" s="3" t="s">
        <v>204</v>
      </c>
      <c r="F210" s="3" t="s">
        <v>231</v>
      </c>
      <c r="G210" s="3">
        <v>404</v>
      </c>
      <c r="H210" s="3">
        <v>4</v>
      </c>
      <c r="I210" s="3">
        <v>4</v>
      </c>
      <c r="J210" s="3">
        <v>1</v>
      </c>
      <c r="K210" s="3">
        <v>13</v>
      </c>
      <c r="L210" s="2" t="s">
        <v>87</v>
      </c>
      <c r="M210" s="2" t="s">
        <v>658</v>
      </c>
      <c r="N210" s="3">
        <v>6.16</v>
      </c>
      <c r="O210" s="3">
        <v>12.3</v>
      </c>
      <c r="P210" s="3">
        <v>29.7</v>
      </c>
      <c r="Q210" s="9">
        <f t="shared" si="15"/>
        <v>6.1390000000000002</v>
      </c>
      <c r="R210" s="10">
        <f t="shared" si="16"/>
        <v>482.32311465358669</v>
      </c>
      <c r="S210" s="11">
        <f t="shared" si="17"/>
        <v>430.26147605137083</v>
      </c>
      <c r="T210" s="7">
        <v>65.7</v>
      </c>
      <c r="U210" s="7">
        <v>29.4</v>
      </c>
      <c r="V210" s="4"/>
    </row>
    <row r="211" spans="1:22" x14ac:dyDescent="0.25">
      <c r="A211" s="4">
        <v>2023</v>
      </c>
      <c r="B211" s="3" t="s">
        <v>201</v>
      </c>
      <c r="C211" s="3" t="s">
        <v>202</v>
      </c>
      <c r="D211" s="3" t="s">
        <v>203</v>
      </c>
      <c r="E211" s="3" t="s">
        <v>204</v>
      </c>
      <c r="F211" s="3" t="s">
        <v>232</v>
      </c>
      <c r="G211" s="3">
        <v>405</v>
      </c>
      <c r="H211" s="3">
        <v>4</v>
      </c>
      <c r="I211" s="3">
        <v>5</v>
      </c>
      <c r="J211" s="3">
        <v>1</v>
      </c>
      <c r="K211" s="3">
        <v>10</v>
      </c>
      <c r="L211" s="2" t="s">
        <v>27</v>
      </c>
      <c r="M211" s="2" t="s">
        <v>658</v>
      </c>
      <c r="N211" s="3">
        <v>5.68</v>
      </c>
      <c r="O211" s="3">
        <v>18.5</v>
      </c>
      <c r="P211" s="3">
        <v>36.700000000000003</v>
      </c>
      <c r="Q211" s="9">
        <f t="shared" si="15"/>
        <v>5.2604545454545448</v>
      </c>
      <c r="R211" s="10">
        <f t="shared" si="16"/>
        <v>413.298390757005</v>
      </c>
      <c r="S211" s="11">
        <f t="shared" si="17"/>
        <v>368.68723528724797</v>
      </c>
      <c r="T211" s="7">
        <v>69.3</v>
      </c>
      <c r="U211" s="7">
        <v>53.8</v>
      </c>
      <c r="V211" s="4"/>
    </row>
    <row r="212" spans="1:22" x14ac:dyDescent="0.25">
      <c r="A212" s="4">
        <v>2023</v>
      </c>
      <c r="B212" s="3" t="s">
        <v>201</v>
      </c>
      <c r="C212" s="3" t="s">
        <v>202</v>
      </c>
      <c r="D212" s="3" t="s">
        <v>203</v>
      </c>
      <c r="E212" s="3" t="s">
        <v>204</v>
      </c>
      <c r="F212" s="3" t="s">
        <v>233</v>
      </c>
      <c r="G212" s="3">
        <v>406</v>
      </c>
      <c r="H212" s="3">
        <v>4</v>
      </c>
      <c r="I212" s="3">
        <v>6</v>
      </c>
      <c r="J212" s="3">
        <v>2</v>
      </c>
      <c r="K212" s="3">
        <v>20</v>
      </c>
      <c r="L212" s="2" t="s">
        <v>82</v>
      </c>
      <c r="M212" s="2" t="s">
        <v>658</v>
      </c>
      <c r="N212" s="3">
        <v>8.4700000000000006</v>
      </c>
      <c r="O212" s="3">
        <v>18.100000000000001</v>
      </c>
      <c r="P212" s="3">
        <v>31</v>
      </c>
      <c r="Q212" s="9">
        <f t="shared" si="15"/>
        <v>7.8828750000000003</v>
      </c>
      <c r="R212" s="10">
        <f t="shared" si="16"/>
        <v>619.33422746781105</v>
      </c>
      <c r="S212" s="11">
        <f t="shared" si="17"/>
        <v>552.48369979287338</v>
      </c>
      <c r="T212" s="7">
        <v>64.900000000000006</v>
      </c>
      <c r="U212" s="7">
        <v>46.7</v>
      </c>
      <c r="V212" s="4"/>
    </row>
    <row r="213" spans="1:22" x14ac:dyDescent="0.25">
      <c r="A213" s="4">
        <v>2023</v>
      </c>
      <c r="B213" s="3" t="s">
        <v>201</v>
      </c>
      <c r="C213" s="3" t="s">
        <v>202</v>
      </c>
      <c r="D213" s="3" t="s">
        <v>203</v>
      </c>
      <c r="E213" s="3" t="s">
        <v>204</v>
      </c>
      <c r="F213" s="3" t="s">
        <v>234</v>
      </c>
      <c r="G213" s="3">
        <v>407</v>
      </c>
      <c r="H213" s="3">
        <v>4</v>
      </c>
      <c r="I213" s="3">
        <v>7</v>
      </c>
      <c r="J213" s="3">
        <v>2</v>
      </c>
      <c r="K213" s="3">
        <v>4</v>
      </c>
      <c r="L213" s="2" t="s">
        <v>56</v>
      </c>
      <c r="M213" s="2" t="s">
        <v>658</v>
      </c>
      <c r="N213" s="3">
        <v>7.96</v>
      </c>
      <c r="O213" s="3">
        <v>16.100000000000001</v>
      </c>
      <c r="P213" s="3">
        <v>37.799999999999997</v>
      </c>
      <c r="Q213" s="9">
        <f t="shared" si="15"/>
        <v>7.5891363636363636</v>
      </c>
      <c r="R213" s="10">
        <f t="shared" si="16"/>
        <v>596.25604959112002</v>
      </c>
      <c r="S213" s="11">
        <f t="shared" si="17"/>
        <v>531.89656520171275</v>
      </c>
      <c r="T213" s="7">
        <v>65</v>
      </c>
      <c r="U213" s="7">
        <v>43.8</v>
      </c>
      <c r="V213" s="4"/>
    </row>
    <row r="214" spans="1:22" x14ac:dyDescent="0.25">
      <c r="A214" s="4">
        <v>2023</v>
      </c>
      <c r="B214" s="3" t="s">
        <v>201</v>
      </c>
      <c r="C214" s="3" t="s">
        <v>202</v>
      </c>
      <c r="D214" s="3" t="s">
        <v>203</v>
      </c>
      <c r="E214" s="3" t="s">
        <v>204</v>
      </c>
      <c r="F214" s="3" t="s">
        <v>235</v>
      </c>
      <c r="G214" s="3">
        <v>408</v>
      </c>
      <c r="H214" s="3">
        <v>4</v>
      </c>
      <c r="I214" s="3">
        <v>8</v>
      </c>
      <c r="J214" s="3">
        <v>2</v>
      </c>
      <c r="K214" s="3">
        <v>15</v>
      </c>
      <c r="L214" s="2" t="s">
        <v>87</v>
      </c>
      <c r="M214" s="2" t="s">
        <v>656</v>
      </c>
      <c r="N214" s="3">
        <v>6.4</v>
      </c>
      <c r="O214" s="3">
        <v>11.1</v>
      </c>
      <c r="P214" s="3">
        <v>29.9</v>
      </c>
      <c r="Q214" s="9">
        <f t="shared" si="15"/>
        <v>6.4654545454545458</v>
      </c>
      <c r="R214" s="10">
        <f t="shared" si="16"/>
        <v>507.97168496739306</v>
      </c>
      <c r="S214" s="11">
        <f t="shared" si="17"/>
        <v>453.14155661676455</v>
      </c>
      <c r="T214" s="7">
        <v>65.2</v>
      </c>
      <c r="U214" s="7">
        <v>29.9</v>
      </c>
      <c r="V214" s="4"/>
    </row>
    <row r="215" spans="1:22" x14ac:dyDescent="0.25">
      <c r="A215" s="4">
        <v>2023</v>
      </c>
      <c r="B215" s="3" t="s">
        <v>201</v>
      </c>
      <c r="C215" s="3" t="s">
        <v>202</v>
      </c>
      <c r="D215" s="3" t="s">
        <v>203</v>
      </c>
      <c r="E215" s="3" t="s">
        <v>204</v>
      </c>
      <c r="F215" s="3" t="s">
        <v>236</v>
      </c>
      <c r="G215" s="3">
        <v>409</v>
      </c>
      <c r="H215" s="3">
        <v>4</v>
      </c>
      <c r="I215" s="3">
        <v>9</v>
      </c>
      <c r="J215" s="3">
        <v>2</v>
      </c>
      <c r="K215" s="3">
        <v>19</v>
      </c>
      <c r="L215" s="2" t="s">
        <v>113</v>
      </c>
      <c r="M215" s="2" t="s">
        <v>658</v>
      </c>
      <c r="N215" s="3">
        <v>6.75</v>
      </c>
      <c r="O215" s="3">
        <v>22.2</v>
      </c>
      <c r="P215" s="3">
        <v>39.200000000000003</v>
      </c>
      <c r="Q215" s="9">
        <f t="shared" si="15"/>
        <v>5.9676136363636365</v>
      </c>
      <c r="R215" s="10">
        <f t="shared" si="16"/>
        <v>468.85779380031374</v>
      </c>
      <c r="S215" s="11">
        <f t="shared" si="17"/>
        <v>418.24959304220675</v>
      </c>
      <c r="T215" s="7">
        <v>63.5</v>
      </c>
      <c r="U215" s="7">
        <v>46.2</v>
      </c>
      <c r="V215" s="4"/>
    </row>
    <row r="216" spans="1:22" x14ac:dyDescent="0.25">
      <c r="A216" s="4">
        <v>2023</v>
      </c>
      <c r="B216" s="3" t="s">
        <v>201</v>
      </c>
      <c r="C216" s="3" t="s">
        <v>202</v>
      </c>
      <c r="D216" s="3" t="s">
        <v>203</v>
      </c>
      <c r="E216" s="3" t="s">
        <v>204</v>
      </c>
      <c r="F216" s="3" t="s">
        <v>237</v>
      </c>
      <c r="G216" s="3">
        <v>410</v>
      </c>
      <c r="H216" s="3">
        <v>4</v>
      </c>
      <c r="I216" s="3">
        <v>10</v>
      </c>
      <c r="J216" s="3">
        <v>2</v>
      </c>
      <c r="K216" s="3">
        <v>5</v>
      </c>
      <c r="L216" s="2" t="s">
        <v>56</v>
      </c>
      <c r="M216" s="2" t="s">
        <v>657</v>
      </c>
      <c r="N216" s="3">
        <v>7.56</v>
      </c>
      <c r="O216" s="3">
        <v>14.7</v>
      </c>
      <c r="P216" s="3">
        <v>30.5</v>
      </c>
      <c r="Q216" s="9">
        <f t="shared" si="15"/>
        <v>7.3280454545454541</v>
      </c>
      <c r="R216" s="10">
        <f t="shared" si="16"/>
        <v>575.7429073072849</v>
      </c>
      <c r="S216" s="11">
        <f t="shared" si="17"/>
        <v>513.59759795475907</v>
      </c>
      <c r="T216" s="7">
        <v>65.7</v>
      </c>
      <c r="U216" s="7">
        <v>46.1</v>
      </c>
      <c r="V216" s="4"/>
    </row>
    <row r="217" spans="1:22" x14ac:dyDescent="0.25">
      <c r="A217" s="4">
        <v>2023</v>
      </c>
      <c r="B217" s="3" t="s">
        <v>201</v>
      </c>
      <c r="C217" s="3" t="s">
        <v>202</v>
      </c>
      <c r="D217" s="3" t="s">
        <v>203</v>
      </c>
      <c r="E217" s="3" t="s">
        <v>204</v>
      </c>
      <c r="F217" s="3" t="s">
        <v>238</v>
      </c>
      <c r="G217" s="3">
        <v>411</v>
      </c>
      <c r="H217" s="3">
        <v>4</v>
      </c>
      <c r="I217" s="3">
        <v>11</v>
      </c>
      <c r="J217" s="3">
        <v>3</v>
      </c>
      <c r="K217" s="3">
        <v>19</v>
      </c>
      <c r="L217" s="2" t="s">
        <v>113</v>
      </c>
      <c r="M217" s="2" t="s">
        <v>658</v>
      </c>
      <c r="N217" s="3">
        <v>6.28</v>
      </c>
      <c r="O217" s="3">
        <v>19.899999999999999</v>
      </c>
      <c r="P217" s="3">
        <v>36.700000000000003</v>
      </c>
      <c r="Q217" s="9">
        <f t="shared" si="15"/>
        <v>5.7162272727272727</v>
      </c>
      <c r="R217" s="10">
        <f t="shared" si="16"/>
        <v>449.10710901606058</v>
      </c>
      <c r="S217" s="11">
        <f t="shared" si="17"/>
        <v>400.63078413564727</v>
      </c>
      <c r="T217" s="7">
        <v>62.4</v>
      </c>
      <c r="U217" s="7">
        <v>43.1</v>
      </c>
      <c r="V217" s="4"/>
    </row>
    <row r="218" spans="1:22" x14ac:dyDescent="0.25">
      <c r="A218" s="4">
        <v>2023</v>
      </c>
      <c r="B218" s="3" t="s">
        <v>201</v>
      </c>
      <c r="C218" s="3" t="s">
        <v>202</v>
      </c>
      <c r="D218" s="3" t="s">
        <v>203</v>
      </c>
      <c r="E218" s="3" t="s">
        <v>204</v>
      </c>
      <c r="F218" s="3" t="s">
        <v>239</v>
      </c>
      <c r="G218" s="3">
        <v>412</v>
      </c>
      <c r="H218" s="3">
        <v>4</v>
      </c>
      <c r="I218" s="3">
        <v>12</v>
      </c>
      <c r="J218" s="3">
        <v>3</v>
      </c>
      <c r="K218" s="3">
        <v>6</v>
      </c>
      <c r="L218" s="2" t="s">
        <v>56</v>
      </c>
      <c r="M218" s="2" t="s">
        <v>656</v>
      </c>
      <c r="N218" s="3">
        <v>7.25</v>
      </c>
      <c r="O218" s="3">
        <v>14.7</v>
      </c>
      <c r="P218" s="3">
        <v>31.4</v>
      </c>
      <c r="Q218" s="9">
        <f t="shared" si="15"/>
        <v>7.027556818181818</v>
      </c>
      <c r="R218" s="10">
        <f t="shared" si="16"/>
        <v>552.13440184891738</v>
      </c>
      <c r="S218" s="11">
        <f t="shared" si="17"/>
        <v>492.53737899100571</v>
      </c>
      <c r="T218" s="7">
        <v>65.099999999999994</v>
      </c>
      <c r="U218" s="7">
        <v>47.1</v>
      </c>
      <c r="V218" s="4"/>
    </row>
    <row r="219" spans="1:22" x14ac:dyDescent="0.25">
      <c r="A219" s="4">
        <v>2023</v>
      </c>
      <c r="B219" s="3" t="s">
        <v>201</v>
      </c>
      <c r="C219" s="3" t="s">
        <v>202</v>
      </c>
      <c r="D219" s="3" t="s">
        <v>203</v>
      </c>
      <c r="E219" s="3" t="s">
        <v>204</v>
      </c>
      <c r="F219" s="3" t="s">
        <v>240</v>
      </c>
      <c r="G219" s="3">
        <v>413</v>
      </c>
      <c r="H219" s="3">
        <v>4</v>
      </c>
      <c r="I219" s="3">
        <v>13</v>
      </c>
      <c r="J219" s="3">
        <v>3</v>
      </c>
      <c r="K219" s="3">
        <v>7</v>
      </c>
      <c r="L219" s="2" t="s">
        <v>69</v>
      </c>
      <c r="M219" s="2" t="s">
        <v>658</v>
      </c>
      <c r="N219" s="3">
        <v>8.66</v>
      </c>
      <c r="O219" s="3">
        <v>14.3</v>
      </c>
      <c r="P219" s="3">
        <v>33.6</v>
      </c>
      <c r="Q219" s="9">
        <f t="shared" si="15"/>
        <v>8.4336590909090905</v>
      </c>
      <c r="R219" s="10">
        <f t="shared" si="16"/>
        <v>662.60770820228208</v>
      </c>
      <c r="S219" s="11">
        <f t="shared" si="17"/>
        <v>591.08626958276727</v>
      </c>
      <c r="T219" s="7">
        <v>60.6</v>
      </c>
      <c r="U219" s="7">
        <v>35</v>
      </c>
      <c r="V219" s="4"/>
    </row>
    <row r="220" spans="1:22" x14ac:dyDescent="0.25">
      <c r="A220" s="4">
        <v>2023</v>
      </c>
      <c r="B220" s="3" t="s">
        <v>201</v>
      </c>
      <c r="C220" s="3" t="s">
        <v>202</v>
      </c>
      <c r="D220" s="3" t="s">
        <v>203</v>
      </c>
      <c r="E220" s="3" t="s">
        <v>204</v>
      </c>
      <c r="F220" s="3" t="s">
        <v>241</v>
      </c>
      <c r="G220" s="3">
        <v>414</v>
      </c>
      <c r="H220" s="3">
        <v>4</v>
      </c>
      <c r="I220" s="3">
        <v>14</v>
      </c>
      <c r="J220" s="3">
        <v>3</v>
      </c>
      <c r="K220" s="3">
        <v>12</v>
      </c>
      <c r="L220" s="2" t="s">
        <v>27</v>
      </c>
      <c r="M220" s="2" t="s">
        <v>656</v>
      </c>
      <c r="N220" s="3">
        <v>4.38</v>
      </c>
      <c r="O220" s="3">
        <v>17.7</v>
      </c>
      <c r="P220" s="3">
        <v>28</v>
      </c>
      <c r="Q220" s="9">
        <f t="shared" si="15"/>
        <v>4.0962954545454542</v>
      </c>
      <c r="R220" s="10">
        <f t="shared" si="16"/>
        <v>321.83384625797254</v>
      </c>
      <c r="S220" s="11">
        <f t="shared" si="17"/>
        <v>287.09531334341887</v>
      </c>
      <c r="T220" s="7">
        <v>66.5</v>
      </c>
      <c r="U220" s="7">
        <v>50</v>
      </c>
      <c r="V220" s="4"/>
    </row>
    <row r="221" spans="1:22" x14ac:dyDescent="0.25">
      <c r="A221" s="4">
        <v>2023</v>
      </c>
      <c r="B221" s="3" t="s">
        <v>201</v>
      </c>
      <c r="C221" s="3" t="s">
        <v>202</v>
      </c>
      <c r="D221" s="3" t="s">
        <v>203</v>
      </c>
      <c r="E221" s="3" t="s">
        <v>204</v>
      </c>
      <c r="F221" s="3" t="s">
        <v>242</v>
      </c>
      <c r="G221" s="3">
        <v>415</v>
      </c>
      <c r="H221" s="3">
        <v>4</v>
      </c>
      <c r="I221" s="3">
        <v>15</v>
      </c>
      <c r="J221" s="3">
        <v>3</v>
      </c>
      <c r="K221" s="3">
        <v>18</v>
      </c>
      <c r="L221" s="2" t="s">
        <v>42</v>
      </c>
      <c r="M221" s="2" t="s">
        <v>656</v>
      </c>
      <c r="N221" s="3">
        <v>6.12</v>
      </c>
      <c r="O221" s="3">
        <v>16.600000000000001</v>
      </c>
      <c r="P221" s="3">
        <v>32.9</v>
      </c>
      <c r="Q221" s="9">
        <f t="shared" si="15"/>
        <v>5.8000909090909092</v>
      </c>
      <c r="R221" s="10">
        <f t="shared" si="16"/>
        <v>455.69602745507092</v>
      </c>
      <c r="S221" s="11">
        <f t="shared" si="17"/>
        <v>406.50849906785987</v>
      </c>
      <c r="T221" s="7">
        <v>61.6</v>
      </c>
      <c r="U221" s="7">
        <v>48.2</v>
      </c>
      <c r="V221" s="4"/>
    </row>
    <row r="222" spans="1:22" x14ac:dyDescent="0.25">
      <c r="A222" s="4">
        <v>2023</v>
      </c>
      <c r="B222" s="3" t="s">
        <v>243</v>
      </c>
      <c r="C222" s="3" t="s">
        <v>244</v>
      </c>
      <c r="D222" s="3" t="s">
        <v>245</v>
      </c>
      <c r="E222" s="3" t="s">
        <v>246</v>
      </c>
      <c r="F222" s="3" t="s">
        <v>247</v>
      </c>
      <c r="G222" s="3">
        <v>101</v>
      </c>
      <c r="H222" s="3">
        <v>1</v>
      </c>
      <c r="I222" s="3">
        <v>1</v>
      </c>
      <c r="J222" s="3">
        <v>1</v>
      </c>
      <c r="K222" s="3">
        <v>1</v>
      </c>
      <c r="L222" s="6" t="s">
        <v>100</v>
      </c>
      <c r="M222" s="6" t="s">
        <v>658</v>
      </c>
      <c r="N222" s="3">
        <v>10.87</v>
      </c>
      <c r="O222" s="3">
        <v>9.8699999999999992</v>
      </c>
      <c r="P222" s="3">
        <v>45.6</v>
      </c>
      <c r="Q222" s="9">
        <f t="shared" ref="Q222:Q253" si="18">N222*(1-O222/100)/(1-0.12)</f>
        <v>11.133103409090907</v>
      </c>
      <c r="R222" s="10">
        <f t="shared" ref="R222:R253" si="19">((10000*Q222*12%/2.205))/((4.66*16)/10.764)</f>
        <v>874.69508259214706</v>
      </c>
      <c r="S222" s="10">
        <f t="shared" ref="S222:S253" si="20">R222/1.121</f>
        <v>780.2810727851446</v>
      </c>
      <c r="T222" s="7">
        <v>72.400000000000006</v>
      </c>
      <c r="U222" s="7">
        <v>57.7</v>
      </c>
      <c r="V222" s="4"/>
    </row>
    <row r="223" spans="1:22" x14ac:dyDescent="0.25">
      <c r="A223" s="4">
        <v>2023</v>
      </c>
      <c r="B223" s="3" t="s">
        <v>243</v>
      </c>
      <c r="C223" s="3" t="s">
        <v>244</v>
      </c>
      <c r="D223" s="3" t="s">
        <v>245</v>
      </c>
      <c r="E223" s="3" t="s">
        <v>246</v>
      </c>
      <c r="F223" s="3" t="s">
        <v>248</v>
      </c>
      <c r="G223" s="3">
        <v>102</v>
      </c>
      <c r="H223" s="3">
        <v>2</v>
      </c>
      <c r="I223" s="3">
        <v>1</v>
      </c>
      <c r="J223" s="3">
        <v>1</v>
      </c>
      <c r="K223" s="3">
        <v>16</v>
      </c>
      <c r="L223" s="6" t="s">
        <v>42</v>
      </c>
      <c r="M223" s="6" t="s">
        <v>658</v>
      </c>
      <c r="N223" s="3">
        <v>10.78</v>
      </c>
      <c r="O223" s="3">
        <v>16.5</v>
      </c>
      <c r="P223" s="3">
        <v>46</v>
      </c>
      <c r="Q223" s="9">
        <f t="shared" si="18"/>
        <v>10.228749999999998</v>
      </c>
      <c r="R223" s="10">
        <f t="shared" si="19"/>
        <v>803.64270386266082</v>
      </c>
      <c r="S223" s="10">
        <f t="shared" si="20"/>
        <v>716.89804091227552</v>
      </c>
      <c r="T223" s="7">
        <v>73</v>
      </c>
      <c r="U223" s="7">
        <v>67.099999999999994</v>
      </c>
      <c r="V223" s="4"/>
    </row>
    <row r="224" spans="1:22" x14ac:dyDescent="0.25">
      <c r="A224" s="4">
        <v>2023</v>
      </c>
      <c r="B224" s="3" t="s">
        <v>243</v>
      </c>
      <c r="C224" s="3" t="s">
        <v>244</v>
      </c>
      <c r="D224" s="3" t="s">
        <v>245</v>
      </c>
      <c r="E224" s="3" t="s">
        <v>246</v>
      </c>
      <c r="F224" s="3" t="s">
        <v>249</v>
      </c>
      <c r="G224" s="3">
        <v>103</v>
      </c>
      <c r="H224" s="3">
        <v>3</v>
      </c>
      <c r="I224" s="3">
        <v>1</v>
      </c>
      <c r="J224" s="3">
        <v>1</v>
      </c>
      <c r="K224" s="3">
        <v>11</v>
      </c>
      <c r="L224" s="6" t="s">
        <v>27</v>
      </c>
      <c r="M224" s="6" t="s">
        <v>657</v>
      </c>
      <c r="N224" s="3">
        <v>10.91</v>
      </c>
      <c r="O224" s="3">
        <v>20.100000000000001</v>
      </c>
      <c r="P224" s="3">
        <v>44.8</v>
      </c>
      <c r="Q224" s="9">
        <f t="shared" si="18"/>
        <v>9.9057840909090888</v>
      </c>
      <c r="R224" s="10">
        <f t="shared" si="19"/>
        <v>778.26822541345814</v>
      </c>
      <c r="S224" s="10">
        <f t="shared" si="20"/>
        <v>694.26246691655501</v>
      </c>
      <c r="T224" s="7">
        <v>75.2</v>
      </c>
      <c r="U224" s="7">
        <v>68</v>
      </c>
      <c r="V224" s="4"/>
    </row>
    <row r="225" spans="1:22" x14ac:dyDescent="0.25">
      <c r="A225" s="4">
        <v>2023</v>
      </c>
      <c r="B225" s="3" t="s">
        <v>243</v>
      </c>
      <c r="C225" s="3" t="s">
        <v>244</v>
      </c>
      <c r="D225" s="3" t="s">
        <v>245</v>
      </c>
      <c r="E225" s="3" t="s">
        <v>246</v>
      </c>
      <c r="F225" s="3" t="s">
        <v>250</v>
      </c>
      <c r="G225" s="3">
        <v>104</v>
      </c>
      <c r="H225" s="3">
        <v>4</v>
      </c>
      <c r="I225" s="3">
        <v>1</v>
      </c>
      <c r="J225" s="3">
        <v>1</v>
      </c>
      <c r="K225" s="3">
        <v>4</v>
      </c>
      <c r="L225" s="6" t="s">
        <v>56</v>
      </c>
      <c r="M225" s="6" t="s">
        <v>658</v>
      </c>
      <c r="N225" s="3">
        <v>13.65</v>
      </c>
      <c r="O225" s="3">
        <v>17.600000000000001</v>
      </c>
      <c r="P225" s="3">
        <v>45.8</v>
      </c>
      <c r="Q225" s="9">
        <f t="shared" si="18"/>
        <v>12.781363636363636</v>
      </c>
      <c r="R225" s="10">
        <f t="shared" si="19"/>
        <v>1004.1940248592608</v>
      </c>
      <c r="S225" s="10">
        <f t="shared" si="20"/>
        <v>895.80198470942094</v>
      </c>
      <c r="T225" s="7">
        <v>73.3</v>
      </c>
      <c r="U225" s="7">
        <v>64.5</v>
      </c>
      <c r="V225" s="4"/>
    </row>
    <row r="226" spans="1:22" x14ac:dyDescent="0.25">
      <c r="A226" s="4">
        <v>2023</v>
      </c>
      <c r="B226" s="3" t="s">
        <v>243</v>
      </c>
      <c r="C226" s="3" t="s">
        <v>244</v>
      </c>
      <c r="D226" s="3" t="s">
        <v>245</v>
      </c>
      <c r="E226" s="3" t="s">
        <v>246</v>
      </c>
      <c r="F226" s="3" t="s">
        <v>251</v>
      </c>
      <c r="G226" s="3">
        <v>105</v>
      </c>
      <c r="H226" s="3">
        <v>5</v>
      </c>
      <c r="I226" s="3">
        <v>1</v>
      </c>
      <c r="J226" s="3">
        <v>1</v>
      </c>
      <c r="K226" s="3">
        <v>2</v>
      </c>
      <c r="L226" s="6" t="s">
        <v>100</v>
      </c>
      <c r="M226" s="6" t="s">
        <v>657</v>
      </c>
      <c r="N226" s="3">
        <v>13.51</v>
      </c>
      <c r="O226" s="3">
        <v>20.5</v>
      </c>
      <c r="P226" s="3">
        <v>44.9</v>
      </c>
      <c r="Q226" s="9">
        <f t="shared" si="18"/>
        <v>12.20505681818182</v>
      </c>
      <c r="R226" s="10">
        <f t="shared" si="19"/>
        <v>958.91529875703714</v>
      </c>
      <c r="S226" s="10">
        <f t="shared" si="20"/>
        <v>855.41061441305726</v>
      </c>
      <c r="T226" s="7">
        <v>72.8</v>
      </c>
      <c r="U226" s="7">
        <v>60</v>
      </c>
      <c r="V226" s="4"/>
    </row>
    <row r="227" spans="1:22" x14ac:dyDescent="0.25">
      <c r="A227" s="4">
        <v>2023</v>
      </c>
      <c r="B227" s="3" t="s">
        <v>243</v>
      </c>
      <c r="C227" s="3" t="s">
        <v>244</v>
      </c>
      <c r="D227" s="3" t="s">
        <v>245</v>
      </c>
      <c r="E227" s="3" t="s">
        <v>246</v>
      </c>
      <c r="F227" s="3" t="s">
        <v>252</v>
      </c>
      <c r="G227" s="3">
        <v>106</v>
      </c>
      <c r="H227" s="3">
        <v>6</v>
      </c>
      <c r="I227" s="3">
        <v>1</v>
      </c>
      <c r="J227" s="3">
        <v>1</v>
      </c>
      <c r="K227" s="3">
        <v>14</v>
      </c>
      <c r="L227" s="6" t="s">
        <v>87</v>
      </c>
      <c r="M227" s="6" t="s">
        <v>657</v>
      </c>
      <c r="N227" s="3">
        <v>8.57</v>
      </c>
      <c r="O227" s="3">
        <v>15.6</v>
      </c>
      <c r="P227" s="3">
        <v>46.2</v>
      </c>
      <c r="Q227" s="9">
        <f t="shared" si="18"/>
        <v>8.2194090909090907</v>
      </c>
      <c r="R227" s="10">
        <f t="shared" si="19"/>
        <v>645.77471792462597</v>
      </c>
      <c r="S227" s="10">
        <f t="shared" si="20"/>
        <v>576.07022116380551</v>
      </c>
      <c r="T227" s="7">
        <v>71</v>
      </c>
      <c r="U227" s="7">
        <v>51.7</v>
      </c>
      <c r="V227" s="4"/>
    </row>
    <row r="228" spans="1:22" x14ac:dyDescent="0.25">
      <c r="A228" s="4">
        <v>2023</v>
      </c>
      <c r="B228" s="3" t="s">
        <v>243</v>
      </c>
      <c r="C228" s="3" t="s">
        <v>244</v>
      </c>
      <c r="D228" s="3" t="s">
        <v>245</v>
      </c>
      <c r="E228" s="3" t="s">
        <v>246</v>
      </c>
      <c r="F228" s="3" t="s">
        <v>253</v>
      </c>
      <c r="G228" s="3">
        <v>107</v>
      </c>
      <c r="H228" s="3">
        <v>7</v>
      </c>
      <c r="I228" s="3">
        <v>1</v>
      </c>
      <c r="J228" s="3">
        <v>1</v>
      </c>
      <c r="K228" s="3">
        <v>6</v>
      </c>
      <c r="L228" s="6" t="s">
        <v>56</v>
      </c>
      <c r="M228" s="6" t="s">
        <v>656</v>
      </c>
      <c r="N228" s="3">
        <v>13.72</v>
      </c>
      <c r="O228" s="3">
        <v>18.899999999999999</v>
      </c>
      <c r="P228" s="3">
        <v>45.2</v>
      </c>
      <c r="Q228" s="9">
        <f t="shared" si="18"/>
        <v>12.644227272727274</v>
      </c>
      <c r="R228" s="10">
        <f t="shared" si="19"/>
        <v>993.41962543893885</v>
      </c>
      <c r="S228" s="10">
        <f t="shared" si="20"/>
        <v>886.19056685007922</v>
      </c>
      <c r="T228" s="7">
        <v>72.8</v>
      </c>
      <c r="U228" s="7">
        <v>64</v>
      </c>
      <c r="V228" s="4"/>
    </row>
    <row r="229" spans="1:22" x14ac:dyDescent="0.25">
      <c r="A229" s="4">
        <v>2023</v>
      </c>
      <c r="B229" s="3" t="s">
        <v>243</v>
      </c>
      <c r="C229" s="3" t="s">
        <v>244</v>
      </c>
      <c r="D229" s="3" t="s">
        <v>245</v>
      </c>
      <c r="E229" s="3" t="s">
        <v>246</v>
      </c>
      <c r="F229" s="3" t="s">
        <v>254</v>
      </c>
      <c r="G229" s="3">
        <v>108</v>
      </c>
      <c r="H229" s="3">
        <v>8</v>
      </c>
      <c r="I229" s="3">
        <v>1</v>
      </c>
      <c r="J229" s="3">
        <v>1</v>
      </c>
      <c r="K229" s="3">
        <v>8</v>
      </c>
      <c r="L229" s="6" t="s">
        <v>69</v>
      </c>
      <c r="M229" s="6" t="s">
        <v>657</v>
      </c>
      <c r="N229" s="3">
        <v>12.7</v>
      </c>
      <c r="O229" s="3">
        <v>16.8</v>
      </c>
      <c r="P229" s="3">
        <v>46.1</v>
      </c>
      <c r="Q229" s="9">
        <f t="shared" si="18"/>
        <v>12.007272727272728</v>
      </c>
      <c r="R229" s="10">
        <f t="shared" si="19"/>
        <v>943.37598636801579</v>
      </c>
      <c r="S229" s="10">
        <f t="shared" si="20"/>
        <v>841.54860514541997</v>
      </c>
      <c r="T229" s="7">
        <v>72.3</v>
      </c>
      <c r="U229" s="7">
        <v>60.7</v>
      </c>
      <c r="V229" s="4"/>
    </row>
    <row r="230" spans="1:22" x14ac:dyDescent="0.25">
      <c r="A230" s="4">
        <v>2023</v>
      </c>
      <c r="B230" s="3" t="s">
        <v>243</v>
      </c>
      <c r="C230" s="3" t="s">
        <v>244</v>
      </c>
      <c r="D230" s="3" t="s">
        <v>245</v>
      </c>
      <c r="E230" s="3" t="s">
        <v>246</v>
      </c>
      <c r="F230" s="3" t="s">
        <v>255</v>
      </c>
      <c r="G230" s="3">
        <v>109</v>
      </c>
      <c r="H230" s="3">
        <v>9</v>
      </c>
      <c r="I230" s="3">
        <v>1</v>
      </c>
      <c r="J230" s="3">
        <v>1</v>
      </c>
      <c r="K230" s="3">
        <v>13</v>
      </c>
      <c r="L230" s="6" t="s">
        <v>87</v>
      </c>
      <c r="M230" s="6" t="s">
        <v>658</v>
      </c>
      <c r="N230" s="3">
        <v>8.02</v>
      </c>
      <c r="O230" s="3">
        <v>15.4</v>
      </c>
      <c r="P230" s="3">
        <v>46.3</v>
      </c>
      <c r="Q230" s="9">
        <f t="shared" si="18"/>
        <v>7.7101363636363631</v>
      </c>
      <c r="R230" s="10">
        <f t="shared" si="19"/>
        <v>605.76266253672748</v>
      </c>
      <c r="S230" s="10">
        <f t="shared" si="20"/>
        <v>540.37704062152318</v>
      </c>
      <c r="T230" s="7">
        <v>70.8</v>
      </c>
      <c r="U230" s="7">
        <v>48.6</v>
      </c>
      <c r="V230" s="4"/>
    </row>
    <row r="231" spans="1:22" x14ac:dyDescent="0.25">
      <c r="A231" s="4">
        <v>2023</v>
      </c>
      <c r="B231" s="3" t="s">
        <v>243</v>
      </c>
      <c r="C231" s="3" t="s">
        <v>244</v>
      </c>
      <c r="D231" s="3" t="s">
        <v>245</v>
      </c>
      <c r="E231" s="3" t="s">
        <v>246</v>
      </c>
      <c r="F231" s="3" t="s">
        <v>256</v>
      </c>
      <c r="G231" s="3">
        <v>110</v>
      </c>
      <c r="H231" s="3">
        <v>10</v>
      </c>
      <c r="I231" s="3">
        <v>1</v>
      </c>
      <c r="J231" s="3">
        <v>1</v>
      </c>
      <c r="K231" s="3">
        <v>7</v>
      </c>
      <c r="L231" s="6" t="s">
        <v>69</v>
      </c>
      <c r="M231" s="6" t="s">
        <v>658</v>
      </c>
      <c r="N231" s="3">
        <v>12.89</v>
      </c>
      <c r="O231" s="3">
        <v>16.2</v>
      </c>
      <c r="P231" s="3">
        <v>46.4</v>
      </c>
      <c r="Q231" s="9">
        <f t="shared" si="18"/>
        <v>12.274795454545453</v>
      </c>
      <c r="R231" s="10">
        <f t="shared" si="19"/>
        <v>964.39445762698347</v>
      </c>
      <c r="S231" s="10">
        <f t="shared" si="20"/>
        <v>860.29835649151073</v>
      </c>
      <c r="T231" s="7">
        <v>72.099999999999994</v>
      </c>
      <c r="U231" s="7">
        <v>59.1</v>
      </c>
      <c r="V231" s="4"/>
    </row>
    <row r="232" spans="1:22" x14ac:dyDescent="0.25">
      <c r="A232" s="4">
        <v>2023</v>
      </c>
      <c r="B232" s="3" t="s">
        <v>243</v>
      </c>
      <c r="C232" s="3" t="s">
        <v>244</v>
      </c>
      <c r="D232" s="3" t="s">
        <v>245</v>
      </c>
      <c r="E232" s="3" t="s">
        <v>246</v>
      </c>
      <c r="F232" s="3" t="s">
        <v>257</v>
      </c>
      <c r="G232" s="3">
        <v>111</v>
      </c>
      <c r="H232" s="3">
        <v>11</v>
      </c>
      <c r="I232" s="3">
        <v>1</v>
      </c>
      <c r="J232" s="3">
        <v>1</v>
      </c>
      <c r="K232" s="3">
        <v>15</v>
      </c>
      <c r="L232" s="6" t="s">
        <v>87</v>
      </c>
      <c r="M232" s="6" t="s">
        <v>656</v>
      </c>
      <c r="N232" s="3">
        <v>6.9</v>
      </c>
      <c r="O232" s="3">
        <v>16</v>
      </c>
      <c r="P232" s="3">
        <v>45.9</v>
      </c>
      <c r="Q232" s="9">
        <f t="shared" si="18"/>
        <v>6.5863636363636369</v>
      </c>
      <c r="R232" s="10">
        <f t="shared" si="19"/>
        <v>517.4711554539881</v>
      </c>
      <c r="S232" s="10">
        <f t="shared" si="20"/>
        <v>461.61566052987342</v>
      </c>
      <c r="T232" s="7">
        <v>70.5</v>
      </c>
      <c r="U232" s="7">
        <v>48</v>
      </c>
      <c r="V232" s="4"/>
    </row>
    <row r="233" spans="1:22" x14ac:dyDescent="0.25">
      <c r="A233" s="4">
        <v>2023</v>
      </c>
      <c r="B233" s="3" t="s">
        <v>243</v>
      </c>
      <c r="C233" s="3" t="s">
        <v>244</v>
      </c>
      <c r="D233" s="3" t="s">
        <v>245</v>
      </c>
      <c r="E233" s="3" t="s">
        <v>246</v>
      </c>
      <c r="F233" s="3" t="s">
        <v>258</v>
      </c>
      <c r="G233" s="3">
        <v>112</v>
      </c>
      <c r="H233" s="3">
        <v>12</v>
      </c>
      <c r="I233" s="3">
        <v>1</v>
      </c>
      <c r="J233" s="3">
        <v>1</v>
      </c>
      <c r="K233" s="3">
        <v>12</v>
      </c>
      <c r="L233" s="6" t="s">
        <v>27</v>
      </c>
      <c r="M233" s="6" t="s">
        <v>656</v>
      </c>
      <c r="N233" s="3">
        <v>11.34</v>
      </c>
      <c r="O233" s="3">
        <v>21.9</v>
      </c>
      <c r="P233" s="3">
        <v>44.4</v>
      </c>
      <c r="Q233" s="9">
        <f t="shared" si="18"/>
        <v>10.064250000000001</v>
      </c>
      <c r="R233" s="10">
        <f t="shared" si="19"/>
        <v>790.71842427958313</v>
      </c>
      <c r="S233" s="10">
        <f t="shared" si="20"/>
        <v>705.36879953575658</v>
      </c>
      <c r="T233" s="7">
        <v>74.7</v>
      </c>
      <c r="U233" s="7">
        <v>67.7</v>
      </c>
      <c r="V233" s="4"/>
    </row>
    <row r="234" spans="1:22" x14ac:dyDescent="0.25">
      <c r="A234" s="4">
        <v>2023</v>
      </c>
      <c r="B234" s="3" t="s">
        <v>243</v>
      </c>
      <c r="C234" s="3" t="s">
        <v>244</v>
      </c>
      <c r="D234" s="3" t="s">
        <v>245</v>
      </c>
      <c r="E234" s="3" t="s">
        <v>246</v>
      </c>
      <c r="F234" s="3" t="s">
        <v>259</v>
      </c>
      <c r="G234" s="3">
        <v>113</v>
      </c>
      <c r="H234" s="3">
        <v>13</v>
      </c>
      <c r="I234" s="3">
        <v>1</v>
      </c>
      <c r="J234" s="3">
        <v>1</v>
      </c>
      <c r="K234" s="3">
        <v>10</v>
      </c>
      <c r="L234" s="6" t="s">
        <v>27</v>
      </c>
      <c r="M234" s="6" t="s">
        <v>658</v>
      </c>
      <c r="N234" s="3">
        <v>10.71</v>
      </c>
      <c r="O234" s="3">
        <v>20.3</v>
      </c>
      <c r="P234" s="3">
        <v>44.9</v>
      </c>
      <c r="Q234" s="9">
        <f t="shared" si="18"/>
        <v>9.6998522727272718</v>
      </c>
      <c r="R234" s="10">
        <f t="shared" si="19"/>
        <v>762.08877013544384</v>
      </c>
      <c r="S234" s="10">
        <f t="shared" si="20"/>
        <v>679.82941136078841</v>
      </c>
      <c r="T234" s="7">
        <v>74.599999999999994</v>
      </c>
      <c r="U234" s="7">
        <v>68.099999999999994</v>
      </c>
      <c r="V234" s="4"/>
    </row>
    <row r="235" spans="1:22" x14ac:dyDescent="0.25">
      <c r="A235" s="4">
        <v>2023</v>
      </c>
      <c r="B235" s="3" t="s">
        <v>243</v>
      </c>
      <c r="C235" s="3" t="s">
        <v>244</v>
      </c>
      <c r="D235" s="3" t="s">
        <v>245</v>
      </c>
      <c r="E235" s="3" t="s">
        <v>246</v>
      </c>
      <c r="F235" s="3" t="s">
        <v>260</v>
      </c>
      <c r="G235" s="3">
        <v>114</v>
      </c>
      <c r="H235" s="3">
        <v>14</v>
      </c>
      <c r="I235" s="3">
        <v>1</v>
      </c>
      <c r="J235" s="3">
        <v>1</v>
      </c>
      <c r="K235" s="3">
        <v>3</v>
      </c>
      <c r="L235" s="6" t="s">
        <v>100</v>
      </c>
      <c r="M235" s="6" t="s">
        <v>656</v>
      </c>
      <c r="N235" s="3">
        <v>10.48</v>
      </c>
      <c r="O235" s="3">
        <v>18.8</v>
      </c>
      <c r="P235" s="3">
        <v>45.4</v>
      </c>
      <c r="Q235" s="9">
        <f t="shared" si="18"/>
        <v>9.6701818181818204</v>
      </c>
      <c r="R235" s="10">
        <f t="shared" si="19"/>
        <v>759.75765007524672</v>
      </c>
      <c r="S235" s="10">
        <f t="shared" si="20"/>
        <v>677.74991086105865</v>
      </c>
      <c r="T235" s="7">
        <v>72.8</v>
      </c>
      <c r="U235" s="7">
        <v>60.8</v>
      </c>
      <c r="V235" s="4"/>
    </row>
    <row r="236" spans="1:22" x14ac:dyDescent="0.25">
      <c r="A236" s="4">
        <v>2023</v>
      </c>
      <c r="B236" s="3" t="s">
        <v>243</v>
      </c>
      <c r="C236" s="3" t="s">
        <v>244</v>
      </c>
      <c r="D236" s="3" t="s">
        <v>245</v>
      </c>
      <c r="E236" s="3" t="s">
        <v>246</v>
      </c>
      <c r="F236" s="3" t="s">
        <v>261</v>
      </c>
      <c r="G236" s="3">
        <v>201</v>
      </c>
      <c r="H236" s="3">
        <v>1</v>
      </c>
      <c r="I236" s="3">
        <v>2</v>
      </c>
      <c r="J236" s="3">
        <v>1</v>
      </c>
      <c r="K236" s="3">
        <v>20</v>
      </c>
      <c r="L236" s="6" t="s">
        <v>82</v>
      </c>
      <c r="M236" s="6" t="s">
        <v>658</v>
      </c>
      <c r="N236" s="3">
        <v>12.41</v>
      </c>
      <c r="O236" s="3">
        <v>11.4</v>
      </c>
      <c r="P236" s="3">
        <v>45.4</v>
      </c>
      <c r="Q236" s="9">
        <f t="shared" si="18"/>
        <v>12.494613636363637</v>
      </c>
      <c r="R236" s="10">
        <f t="shared" si="19"/>
        <v>981.66492351915394</v>
      </c>
      <c r="S236" s="10">
        <f t="shared" si="20"/>
        <v>875.70465969594466</v>
      </c>
      <c r="T236" s="7">
        <v>73</v>
      </c>
      <c r="U236" s="7">
        <v>64.8</v>
      </c>
      <c r="V236" s="4"/>
    </row>
    <row r="237" spans="1:22" x14ac:dyDescent="0.25">
      <c r="A237" s="4">
        <v>2023</v>
      </c>
      <c r="B237" s="3" t="s">
        <v>243</v>
      </c>
      <c r="C237" s="3" t="s">
        <v>244</v>
      </c>
      <c r="D237" s="3" t="s">
        <v>245</v>
      </c>
      <c r="E237" s="3" t="s">
        <v>246</v>
      </c>
      <c r="F237" s="3" t="s">
        <v>262</v>
      </c>
      <c r="G237" s="3">
        <v>202</v>
      </c>
      <c r="H237" s="3">
        <v>2</v>
      </c>
      <c r="I237" s="3">
        <v>2</v>
      </c>
      <c r="J237" s="3">
        <v>1</v>
      </c>
      <c r="K237" s="3">
        <v>5</v>
      </c>
      <c r="L237" s="6" t="s">
        <v>56</v>
      </c>
      <c r="M237" s="6" t="s">
        <v>657</v>
      </c>
      <c r="N237" s="3">
        <v>13.95</v>
      </c>
      <c r="O237" s="3">
        <v>8.5399999999999991</v>
      </c>
      <c r="P237" s="3">
        <v>46.1</v>
      </c>
      <c r="Q237" s="9">
        <f t="shared" si="18"/>
        <v>14.498488636363636</v>
      </c>
      <c r="R237" s="10">
        <f t="shared" si="19"/>
        <v>1139.1034691090638</v>
      </c>
      <c r="S237" s="10">
        <f t="shared" si="20"/>
        <v>1016.1493926039819</v>
      </c>
      <c r="T237" s="7">
        <v>73.099999999999994</v>
      </c>
      <c r="U237" s="7">
        <v>64.400000000000006</v>
      </c>
      <c r="V237" s="4"/>
    </row>
    <row r="238" spans="1:22" x14ac:dyDescent="0.25">
      <c r="A238" s="4">
        <v>2023</v>
      </c>
      <c r="B238" s="3" t="s">
        <v>243</v>
      </c>
      <c r="C238" s="3" t="s">
        <v>244</v>
      </c>
      <c r="D238" s="3" t="s">
        <v>245</v>
      </c>
      <c r="E238" s="3" t="s">
        <v>246</v>
      </c>
      <c r="F238" s="3" t="s">
        <v>263</v>
      </c>
      <c r="G238" s="3">
        <v>203</v>
      </c>
      <c r="H238" s="3">
        <v>3</v>
      </c>
      <c r="I238" s="3">
        <v>2</v>
      </c>
      <c r="J238" s="3">
        <v>1</v>
      </c>
      <c r="K238" s="3">
        <v>9</v>
      </c>
      <c r="L238" s="6" t="s">
        <v>69</v>
      </c>
      <c r="M238" s="6" t="s">
        <v>656</v>
      </c>
      <c r="N238" s="3">
        <v>13.72</v>
      </c>
      <c r="O238" s="3">
        <v>15</v>
      </c>
      <c r="P238" s="3">
        <v>46.8</v>
      </c>
      <c r="Q238" s="9">
        <f t="shared" si="18"/>
        <v>13.252272727272729</v>
      </c>
      <c r="R238" s="10">
        <f t="shared" si="19"/>
        <v>1041.1919625438939</v>
      </c>
      <c r="S238" s="10">
        <f t="shared" si="20"/>
        <v>928.80638942363407</v>
      </c>
      <c r="T238" s="7">
        <v>71.599999999999994</v>
      </c>
      <c r="U238" s="7">
        <v>56.5</v>
      </c>
      <c r="V238" s="4"/>
    </row>
    <row r="239" spans="1:22" x14ac:dyDescent="0.25">
      <c r="A239" s="4">
        <v>2023</v>
      </c>
      <c r="B239" s="3" t="s">
        <v>243</v>
      </c>
      <c r="C239" s="3" t="s">
        <v>244</v>
      </c>
      <c r="D239" s="3" t="s">
        <v>245</v>
      </c>
      <c r="E239" s="3" t="s">
        <v>246</v>
      </c>
      <c r="F239" s="3" t="s">
        <v>264</v>
      </c>
      <c r="G239" s="3">
        <v>204</v>
      </c>
      <c r="H239" s="3">
        <v>4</v>
      </c>
      <c r="I239" s="3">
        <v>2</v>
      </c>
      <c r="J239" s="3">
        <v>1</v>
      </c>
      <c r="K239" s="3">
        <v>17</v>
      </c>
      <c r="L239" s="6" t="s">
        <v>42</v>
      </c>
      <c r="M239" s="6" t="s">
        <v>657</v>
      </c>
      <c r="N239" s="3">
        <v>10.92</v>
      </c>
      <c r="O239" s="3">
        <v>18.2</v>
      </c>
      <c r="P239" s="3">
        <v>45.5</v>
      </c>
      <c r="Q239" s="9">
        <f t="shared" si="18"/>
        <v>10.150636363636364</v>
      </c>
      <c r="R239" s="10">
        <f t="shared" si="19"/>
        <v>797.50554595618974</v>
      </c>
      <c r="S239" s="10">
        <f t="shared" si="20"/>
        <v>711.4233237789382</v>
      </c>
      <c r="T239" s="7">
        <v>73.400000000000006</v>
      </c>
      <c r="U239" s="7">
        <v>68.7</v>
      </c>
      <c r="V239" s="4"/>
    </row>
    <row r="240" spans="1:22" x14ac:dyDescent="0.25">
      <c r="A240" s="4">
        <v>2023</v>
      </c>
      <c r="B240" s="3" t="s">
        <v>243</v>
      </c>
      <c r="C240" s="3" t="s">
        <v>244</v>
      </c>
      <c r="D240" s="3" t="s">
        <v>245</v>
      </c>
      <c r="E240" s="3" t="s">
        <v>246</v>
      </c>
      <c r="F240" s="3" t="s">
        <v>265</v>
      </c>
      <c r="G240" s="3">
        <v>205</v>
      </c>
      <c r="H240" s="3">
        <v>5</v>
      </c>
      <c r="I240" s="3">
        <v>2</v>
      </c>
      <c r="J240" s="3">
        <v>1</v>
      </c>
      <c r="K240" s="3">
        <v>18</v>
      </c>
      <c r="L240" s="6" t="s">
        <v>42</v>
      </c>
      <c r="M240" s="6" t="s">
        <v>656</v>
      </c>
      <c r="N240" s="3">
        <v>9.99</v>
      </c>
      <c r="O240" s="3">
        <v>19</v>
      </c>
      <c r="P240" s="3">
        <v>45.1</v>
      </c>
      <c r="Q240" s="9">
        <f t="shared" si="18"/>
        <v>9.1953409090909091</v>
      </c>
      <c r="R240" s="10">
        <f t="shared" si="19"/>
        <v>722.4508010383239</v>
      </c>
      <c r="S240" s="10">
        <f t="shared" si="20"/>
        <v>644.46993848200168</v>
      </c>
      <c r="T240" s="7">
        <v>72.8</v>
      </c>
      <c r="U240" s="7">
        <v>67.7</v>
      </c>
      <c r="V240" s="4"/>
    </row>
    <row r="241" spans="1:22" x14ac:dyDescent="0.25">
      <c r="A241" s="4">
        <v>2023</v>
      </c>
      <c r="B241" s="3" t="s">
        <v>243</v>
      </c>
      <c r="C241" s="3" t="s">
        <v>244</v>
      </c>
      <c r="D241" s="3" t="s">
        <v>245</v>
      </c>
      <c r="E241" s="3" t="s">
        <v>246</v>
      </c>
      <c r="F241" s="3" t="s">
        <v>266</v>
      </c>
      <c r="G241" s="3">
        <v>206</v>
      </c>
      <c r="H241" s="3">
        <v>6</v>
      </c>
      <c r="I241" s="3">
        <v>2</v>
      </c>
      <c r="J241" s="3">
        <v>1</v>
      </c>
      <c r="K241" s="3">
        <v>19</v>
      </c>
      <c r="L241" s="6" t="s">
        <v>113</v>
      </c>
      <c r="M241" s="6" t="s">
        <v>658</v>
      </c>
      <c r="N241" s="3">
        <v>10.26</v>
      </c>
      <c r="O241" s="3">
        <v>24.2</v>
      </c>
      <c r="P241" s="3">
        <v>44.1</v>
      </c>
      <c r="Q241" s="9">
        <f t="shared" si="18"/>
        <v>8.8375909090909079</v>
      </c>
      <c r="R241" s="10">
        <f t="shared" si="19"/>
        <v>694.34343920947219</v>
      </c>
      <c r="S241" s="10">
        <f t="shared" si="20"/>
        <v>619.39646673458719</v>
      </c>
      <c r="T241" s="7">
        <v>69.3</v>
      </c>
      <c r="U241" s="7">
        <v>61.6</v>
      </c>
      <c r="V241" s="4"/>
    </row>
    <row r="242" spans="1:22" x14ac:dyDescent="0.25">
      <c r="A242" s="4">
        <v>2023</v>
      </c>
      <c r="B242" s="3" t="s">
        <v>243</v>
      </c>
      <c r="C242" s="3" t="s">
        <v>244</v>
      </c>
      <c r="D242" s="3" t="s">
        <v>245</v>
      </c>
      <c r="E242" s="3" t="s">
        <v>246</v>
      </c>
      <c r="F242" s="3" t="s">
        <v>267</v>
      </c>
      <c r="G242" s="3">
        <v>207</v>
      </c>
      <c r="H242" s="3">
        <v>7</v>
      </c>
      <c r="I242" s="3">
        <v>2</v>
      </c>
      <c r="J242" s="3">
        <v>1</v>
      </c>
      <c r="K242" s="3" t="s">
        <v>268</v>
      </c>
      <c r="L242" s="6" t="s">
        <v>269</v>
      </c>
      <c r="M242" s="6" t="s">
        <v>658</v>
      </c>
      <c r="N242" s="3">
        <v>5.75</v>
      </c>
      <c r="O242" s="3">
        <v>26.6</v>
      </c>
      <c r="P242" s="3">
        <v>43.5</v>
      </c>
      <c r="Q242" s="9">
        <f t="shared" si="18"/>
        <v>4.7960227272727263</v>
      </c>
      <c r="R242" s="10">
        <f t="shared" si="19"/>
        <v>376.80935327701098</v>
      </c>
      <c r="S242" s="10">
        <f t="shared" si="20"/>
        <v>336.13680042552272</v>
      </c>
      <c r="T242" s="7">
        <v>71.599999999999994</v>
      </c>
      <c r="U242" s="7">
        <v>60.8</v>
      </c>
      <c r="V242" s="4"/>
    </row>
    <row r="243" spans="1:22" x14ac:dyDescent="0.25">
      <c r="A243" s="4">
        <v>2023</v>
      </c>
      <c r="B243" s="3" t="s">
        <v>243</v>
      </c>
      <c r="C243" s="3" t="s">
        <v>244</v>
      </c>
      <c r="D243" s="3" t="s">
        <v>245</v>
      </c>
      <c r="E243" s="3" t="s">
        <v>246</v>
      </c>
      <c r="F243" s="3" t="s">
        <v>270</v>
      </c>
      <c r="G243" s="3">
        <v>208</v>
      </c>
      <c r="H243" s="3">
        <v>8</v>
      </c>
      <c r="I243" s="3">
        <v>2</v>
      </c>
      <c r="J243" s="3">
        <v>2</v>
      </c>
      <c r="K243" s="3">
        <v>9</v>
      </c>
      <c r="L243" s="6" t="s">
        <v>69</v>
      </c>
      <c r="M243" s="6" t="s">
        <v>656</v>
      </c>
      <c r="N243" s="3">
        <v>12.92</v>
      </c>
      <c r="O243" s="3">
        <v>15.8</v>
      </c>
      <c r="P243" s="3">
        <v>46.5</v>
      </c>
      <c r="Q243" s="9">
        <f t="shared" si="18"/>
        <v>12.362090909090908</v>
      </c>
      <c r="R243" s="10">
        <f t="shared" si="19"/>
        <v>971.25300389371489</v>
      </c>
      <c r="S243" s="10">
        <f t="shared" si="20"/>
        <v>866.41659580170824</v>
      </c>
      <c r="T243" s="7">
        <v>72</v>
      </c>
      <c r="U243" s="7">
        <v>56.9</v>
      </c>
      <c r="V243" s="4"/>
    </row>
    <row r="244" spans="1:22" x14ac:dyDescent="0.25">
      <c r="A244" s="4">
        <v>2023</v>
      </c>
      <c r="B244" s="3" t="s">
        <v>243</v>
      </c>
      <c r="C244" s="3" t="s">
        <v>244</v>
      </c>
      <c r="D244" s="3" t="s">
        <v>245</v>
      </c>
      <c r="E244" s="3" t="s">
        <v>246</v>
      </c>
      <c r="F244" s="3" t="s">
        <v>271</v>
      </c>
      <c r="G244" s="3">
        <v>209</v>
      </c>
      <c r="H244" s="3">
        <v>9</v>
      </c>
      <c r="I244" s="3">
        <v>2</v>
      </c>
      <c r="J244" s="3">
        <v>2</v>
      </c>
      <c r="K244" s="3">
        <v>14</v>
      </c>
      <c r="L244" s="6" t="s">
        <v>87</v>
      </c>
      <c r="M244" s="6" t="s">
        <v>657</v>
      </c>
      <c r="N244" s="3">
        <v>8.7899999999999991</v>
      </c>
      <c r="O244" s="3">
        <v>15.3</v>
      </c>
      <c r="P244" s="3">
        <v>46.3</v>
      </c>
      <c r="Q244" s="9">
        <f t="shared" si="18"/>
        <v>8.4603749999999991</v>
      </c>
      <c r="R244" s="10">
        <f t="shared" si="19"/>
        <v>664.70669834457362</v>
      </c>
      <c r="S244" s="10">
        <f t="shared" si="20"/>
        <v>592.9586961146955</v>
      </c>
      <c r="T244" s="7">
        <v>70.8</v>
      </c>
      <c r="U244" s="7">
        <v>47.8</v>
      </c>
      <c r="V244" s="4"/>
    </row>
    <row r="245" spans="1:22" x14ac:dyDescent="0.25">
      <c r="A245" s="4">
        <v>2023</v>
      </c>
      <c r="B245" s="3" t="s">
        <v>243</v>
      </c>
      <c r="C245" s="3" t="s">
        <v>244</v>
      </c>
      <c r="D245" s="3" t="s">
        <v>245</v>
      </c>
      <c r="E245" s="3" t="s">
        <v>246</v>
      </c>
      <c r="F245" s="3" t="s">
        <v>272</v>
      </c>
      <c r="G245" s="3">
        <v>210</v>
      </c>
      <c r="H245" s="3">
        <v>10</v>
      </c>
      <c r="I245" s="3">
        <v>2</v>
      </c>
      <c r="J245" s="3">
        <v>2</v>
      </c>
      <c r="K245" s="3">
        <v>5</v>
      </c>
      <c r="L245" s="6" t="s">
        <v>56</v>
      </c>
      <c r="M245" s="6" t="s">
        <v>657</v>
      </c>
      <c r="N245" s="3">
        <v>13.44</v>
      </c>
      <c r="O245" s="3">
        <v>18</v>
      </c>
      <c r="P245" s="3">
        <v>45.6</v>
      </c>
      <c r="Q245" s="9">
        <f t="shared" si="18"/>
        <v>12.523636363636365</v>
      </c>
      <c r="R245" s="10">
        <f t="shared" si="19"/>
        <v>983.94515355888745</v>
      </c>
      <c r="S245" s="10">
        <f t="shared" si="20"/>
        <v>877.73876321042587</v>
      </c>
      <c r="T245" s="7">
        <v>72.900000000000006</v>
      </c>
      <c r="U245" s="7">
        <v>65</v>
      </c>
      <c r="V245" s="4"/>
    </row>
    <row r="246" spans="1:22" x14ac:dyDescent="0.25">
      <c r="A246" s="4">
        <v>2023</v>
      </c>
      <c r="B246" s="3" t="s">
        <v>243</v>
      </c>
      <c r="C246" s="3" t="s">
        <v>244</v>
      </c>
      <c r="D246" s="3" t="s">
        <v>245</v>
      </c>
      <c r="E246" s="3" t="s">
        <v>246</v>
      </c>
      <c r="F246" s="3" t="s">
        <v>273</v>
      </c>
      <c r="G246" s="3">
        <v>211</v>
      </c>
      <c r="H246" s="3">
        <v>11</v>
      </c>
      <c r="I246" s="3">
        <v>2</v>
      </c>
      <c r="J246" s="3">
        <v>2</v>
      </c>
      <c r="K246" s="3">
        <v>7</v>
      </c>
      <c r="L246" s="6" t="s">
        <v>69</v>
      </c>
      <c r="M246" s="6" t="s">
        <v>658</v>
      </c>
      <c r="N246" s="3">
        <v>13.56</v>
      </c>
      <c r="O246" s="3">
        <v>16</v>
      </c>
      <c r="P246" s="3">
        <v>46.5</v>
      </c>
      <c r="Q246" s="9">
        <f t="shared" si="18"/>
        <v>12.943636363636363</v>
      </c>
      <c r="R246" s="10">
        <f t="shared" si="19"/>
        <v>1016.9433141965329</v>
      </c>
      <c r="S246" s="10">
        <f t="shared" si="20"/>
        <v>907.17512417175101</v>
      </c>
      <c r="T246" s="7">
        <v>71.400000000000006</v>
      </c>
      <c r="U246" s="7">
        <v>57.8</v>
      </c>
      <c r="V246" s="4"/>
    </row>
    <row r="247" spans="1:22" x14ac:dyDescent="0.25">
      <c r="A247" s="4">
        <v>2023</v>
      </c>
      <c r="B247" s="3" t="s">
        <v>243</v>
      </c>
      <c r="C247" s="3" t="s">
        <v>244</v>
      </c>
      <c r="D247" s="3" t="s">
        <v>245</v>
      </c>
      <c r="E247" s="3" t="s">
        <v>246</v>
      </c>
      <c r="F247" s="3" t="s">
        <v>274</v>
      </c>
      <c r="G247" s="3">
        <v>212</v>
      </c>
      <c r="H247" s="3">
        <v>12</v>
      </c>
      <c r="I247" s="3">
        <v>2</v>
      </c>
      <c r="J247" s="3">
        <v>2</v>
      </c>
      <c r="K247" s="3">
        <v>12</v>
      </c>
      <c r="L247" s="6" t="s">
        <v>27</v>
      </c>
      <c r="M247" s="6" t="s">
        <v>656</v>
      </c>
      <c r="N247" s="3">
        <v>11.43</v>
      </c>
      <c r="O247" s="3">
        <v>21.6</v>
      </c>
      <c r="P247" s="3">
        <v>44.4</v>
      </c>
      <c r="Q247" s="9">
        <f t="shared" si="18"/>
        <v>10.183090909090907</v>
      </c>
      <c r="R247" s="10">
        <f t="shared" si="19"/>
        <v>800.05540382364393</v>
      </c>
      <c r="S247" s="10">
        <f t="shared" si="20"/>
        <v>713.6979516714041</v>
      </c>
      <c r="T247" s="7">
        <v>74.599999999999994</v>
      </c>
      <c r="U247" s="7">
        <v>68.5</v>
      </c>
      <c r="V247" s="4"/>
    </row>
    <row r="248" spans="1:22" x14ac:dyDescent="0.25">
      <c r="A248" s="4">
        <v>2023</v>
      </c>
      <c r="B248" s="3" t="s">
        <v>243</v>
      </c>
      <c r="C248" s="3" t="s">
        <v>244</v>
      </c>
      <c r="D248" s="3" t="s">
        <v>245</v>
      </c>
      <c r="E248" s="3" t="s">
        <v>246</v>
      </c>
      <c r="F248" s="3" t="s">
        <v>275</v>
      </c>
      <c r="G248" s="3">
        <v>213</v>
      </c>
      <c r="H248" s="3">
        <v>13</v>
      </c>
      <c r="I248" s="3">
        <v>2</v>
      </c>
      <c r="J248" s="3">
        <v>2</v>
      </c>
      <c r="K248" s="3">
        <v>10</v>
      </c>
      <c r="L248" s="6" t="s">
        <v>27</v>
      </c>
      <c r="M248" s="6" t="s">
        <v>658</v>
      </c>
      <c r="N248" s="3">
        <v>11.13</v>
      </c>
      <c r="O248" s="3">
        <v>19.899999999999999</v>
      </c>
      <c r="P248" s="3">
        <v>45</v>
      </c>
      <c r="Q248" s="9">
        <f t="shared" si="18"/>
        <v>10.130829545454548</v>
      </c>
      <c r="R248" s="10">
        <f t="shared" si="19"/>
        <v>795.94938269884619</v>
      </c>
      <c r="S248" s="10">
        <f t="shared" si="20"/>
        <v>710.0351317563302</v>
      </c>
      <c r="T248" s="7">
        <v>74.400000000000006</v>
      </c>
      <c r="U248" s="7">
        <v>68</v>
      </c>
      <c r="V248" s="4"/>
    </row>
    <row r="249" spans="1:22" x14ac:dyDescent="0.25">
      <c r="A249" s="4">
        <v>2023</v>
      </c>
      <c r="B249" s="3" t="s">
        <v>243</v>
      </c>
      <c r="C249" s="3" t="s">
        <v>244</v>
      </c>
      <c r="D249" s="3" t="s">
        <v>245</v>
      </c>
      <c r="E249" s="3" t="s">
        <v>246</v>
      </c>
      <c r="F249" s="3" t="s">
        <v>276</v>
      </c>
      <c r="G249" s="3">
        <v>214</v>
      </c>
      <c r="H249" s="3">
        <v>14</v>
      </c>
      <c r="I249" s="3">
        <v>2</v>
      </c>
      <c r="J249" s="3">
        <v>2</v>
      </c>
      <c r="K249" s="3">
        <v>16</v>
      </c>
      <c r="L249" s="6" t="s">
        <v>42</v>
      </c>
      <c r="M249" s="6" t="s">
        <v>658</v>
      </c>
      <c r="N249" s="3">
        <v>10.01</v>
      </c>
      <c r="O249" s="3">
        <v>16.7</v>
      </c>
      <c r="P249" s="3">
        <v>46</v>
      </c>
      <c r="Q249" s="9">
        <f t="shared" si="18"/>
        <v>9.4753749999999997</v>
      </c>
      <c r="R249" s="10">
        <f t="shared" si="19"/>
        <v>744.45225321888404</v>
      </c>
      <c r="S249" s="10">
        <f t="shared" si="20"/>
        <v>664.09656843789833</v>
      </c>
      <c r="T249" s="7">
        <v>72.400000000000006</v>
      </c>
      <c r="U249" s="7">
        <v>67.3</v>
      </c>
      <c r="V249" s="4"/>
    </row>
    <row r="250" spans="1:22" x14ac:dyDescent="0.25">
      <c r="A250" s="4">
        <v>2023</v>
      </c>
      <c r="B250" s="3" t="s">
        <v>243</v>
      </c>
      <c r="C250" s="3" t="s">
        <v>244</v>
      </c>
      <c r="D250" s="3" t="s">
        <v>245</v>
      </c>
      <c r="E250" s="3" t="s">
        <v>246</v>
      </c>
      <c r="F250" s="3" t="s">
        <v>277</v>
      </c>
      <c r="G250" s="3">
        <v>301</v>
      </c>
      <c r="H250" s="3">
        <v>1</v>
      </c>
      <c r="I250" s="3">
        <v>3</v>
      </c>
      <c r="J250" s="3">
        <v>2</v>
      </c>
      <c r="K250" s="3">
        <v>20</v>
      </c>
      <c r="L250" s="6" t="s">
        <v>82</v>
      </c>
      <c r="M250" s="6" t="s">
        <v>658</v>
      </c>
      <c r="N250" s="3">
        <v>12.05</v>
      </c>
      <c r="O250" s="3">
        <v>11.8</v>
      </c>
      <c r="P250" s="3">
        <v>45.3</v>
      </c>
      <c r="Q250" s="9">
        <f t="shared" si="18"/>
        <v>12.077386363636364</v>
      </c>
      <c r="R250" s="10">
        <f t="shared" si="19"/>
        <v>948.884607881389</v>
      </c>
      <c r="S250" s="10">
        <f t="shared" si="20"/>
        <v>846.46262968901783</v>
      </c>
      <c r="T250" s="7">
        <v>73.7</v>
      </c>
      <c r="U250" s="7">
        <v>67</v>
      </c>
      <c r="V250" s="4"/>
    </row>
    <row r="251" spans="1:22" x14ac:dyDescent="0.25">
      <c r="A251" s="4">
        <v>2023</v>
      </c>
      <c r="B251" s="3" t="s">
        <v>243</v>
      </c>
      <c r="C251" s="3" t="s">
        <v>244</v>
      </c>
      <c r="D251" s="3" t="s">
        <v>245</v>
      </c>
      <c r="E251" s="3" t="s">
        <v>246</v>
      </c>
      <c r="F251" s="3" t="s">
        <v>278</v>
      </c>
      <c r="G251" s="3">
        <v>302</v>
      </c>
      <c r="H251" s="3">
        <v>2</v>
      </c>
      <c r="I251" s="3">
        <v>3</v>
      </c>
      <c r="J251" s="3">
        <v>2</v>
      </c>
      <c r="K251" s="3">
        <v>8</v>
      </c>
      <c r="L251" s="6" t="s">
        <v>69</v>
      </c>
      <c r="M251" s="6" t="s">
        <v>657</v>
      </c>
      <c r="N251" s="3">
        <v>19.28</v>
      </c>
      <c r="O251" s="3">
        <v>6.7</v>
      </c>
      <c r="P251" s="3">
        <v>46.6</v>
      </c>
      <c r="Q251" s="9">
        <f t="shared" si="18"/>
        <v>20.441181818181818</v>
      </c>
      <c r="R251" s="10">
        <f t="shared" si="19"/>
        <v>1606.003336332582</v>
      </c>
      <c r="S251" s="10">
        <f t="shared" si="20"/>
        <v>1432.6523963716163</v>
      </c>
      <c r="T251" s="7">
        <v>72.099999999999994</v>
      </c>
      <c r="U251" s="7">
        <v>57.9</v>
      </c>
      <c r="V251" s="4"/>
    </row>
    <row r="252" spans="1:22" x14ac:dyDescent="0.25">
      <c r="A252" s="4">
        <v>2023</v>
      </c>
      <c r="B252" s="3" t="s">
        <v>243</v>
      </c>
      <c r="C252" s="3" t="s">
        <v>244</v>
      </c>
      <c r="D252" s="3" t="s">
        <v>245</v>
      </c>
      <c r="E252" s="3" t="s">
        <v>246</v>
      </c>
      <c r="F252" s="3" t="s">
        <v>279</v>
      </c>
      <c r="G252" s="3">
        <v>303</v>
      </c>
      <c r="H252" s="3">
        <v>3</v>
      </c>
      <c r="I252" s="3">
        <v>3</v>
      </c>
      <c r="J252" s="3">
        <v>2</v>
      </c>
      <c r="K252" s="3">
        <v>4</v>
      </c>
      <c r="L252" s="6" t="s">
        <v>56</v>
      </c>
      <c r="M252" s="6" t="s">
        <v>658</v>
      </c>
      <c r="N252" s="3">
        <v>12.17</v>
      </c>
      <c r="O252" s="3">
        <v>16.100000000000001</v>
      </c>
      <c r="P252" s="3">
        <v>46.1</v>
      </c>
      <c r="Q252" s="9">
        <f t="shared" si="18"/>
        <v>11.602988636363637</v>
      </c>
      <c r="R252" s="10">
        <f t="shared" si="19"/>
        <v>911.61257833215211</v>
      </c>
      <c r="S252" s="10">
        <f t="shared" si="20"/>
        <v>813.2137184051312</v>
      </c>
      <c r="T252" s="7">
        <v>71.8</v>
      </c>
      <c r="U252" s="7">
        <v>58.6</v>
      </c>
      <c r="V252" s="4"/>
    </row>
    <row r="253" spans="1:22" x14ac:dyDescent="0.25">
      <c r="A253" s="4">
        <v>2023</v>
      </c>
      <c r="B253" s="3" t="s">
        <v>243</v>
      </c>
      <c r="C253" s="3" t="s">
        <v>244</v>
      </c>
      <c r="D253" s="3" t="s">
        <v>245</v>
      </c>
      <c r="E253" s="3" t="s">
        <v>246</v>
      </c>
      <c r="F253" s="3" t="s">
        <v>280</v>
      </c>
      <c r="G253" s="3">
        <v>304</v>
      </c>
      <c r="H253" s="3">
        <v>4</v>
      </c>
      <c r="I253" s="3">
        <v>3</v>
      </c>
      <c r="J253" s="3">
        <v>2</v>
      </c>
      <c r="K253" s="3">
        <v>1</v>
      </c>
      <c r="L253" s="6" t="s">
        <v>100</v>
      </c>
      <c r="M253" s="6" t="s">
        <v>658</v>
      </c>
      <c r="N253" s="3">
        <v>14.55</v>
      </c>
      <c r="O253" s="3">
        <v>20.2</v>
      </c>
      <c r="P253" s="3">
        <v>44.8</v>
      </c>
      <c r="Q253" s="9">
        <f t="shared" si="18"/>
        <v>13.194204545454546</v>
      </c>
      <c r="R253" s="10">
        <f t="shared" si="19"/>
        <v>1036.629716849674</v>
      </c>
      <c r="S253" s="10">
        <f t="shared" si="20"/>
        <v>924.73658951799644</v>
      </c>
      <c r="T253" s="7">
        <v>71.900000000000006</v>
      </c>
      <c r="U253" s="7">
        <v>56.9</v>
      </c>
      <c r="V253" s="4"/>
    </row>
    <row r="254" spans="1:22" x14ac:dyDescent="0.25">
      <c r="A254" s="4">
        <v>2023</v>
      </c>
      <c r="B254" s="3" t="s">
        <v>243</v>
      </c>
      <c r="C254" s="3" t="s">
        <v>244</v>
      </c>
      <c r="D254" s="3" t="s">
        <v>245</v>
      </c>
      <c r="E254" s="3" t="s">
        <v>246</v>
      </c>
      <c r="F254" s="3" t="s">
        <v>281</v>
      </c>
      <c r="G254" s="3">
        <v>305</v>
      </c>
      <c r="H254" s="3">
        <v>5</v>
      </c>
      <c r="I254" s="3">
        <v>3</v>
      </c>
      <c r="J254" s="3">
        <v>2</v>
      </c>
      <c r="K254" s="3">
        <v>19</v>
      </c>
      <c r="L254" s="6" t="s">
        <v>113</v>
      </c>
      <c r="M254" s="6" t="s">
        <v>658</v>
      </c>
      <c r="N254" s="3">
        <v>10.85</v>
      </c>
      <c r="O254" s="3">
        <v>23.9</v>
      </c>
      <c r="P254" s="3">
        <v>44.1</v>
      </c>
      <c r="Q254" s="9">
        <f t="shared" ref="Q254:Q285" si="21">N254*(1-O254/100)/(1-0.12)</f>
        <v>9.3827840909090909</v>
      </c>
      <c r="R254" s="10">
        <f t="shared" ref="R254:R285" si="22">((10000*Q254*12%/2.205))/((4.66*16)/10.764)</f>
        <v>737.17765871467577</v>
      </c>
      <c r="S254" s="10">
        <f t="shared" ref="S254:S285" si="23">R254/1.121</f>
        <v>657.60718886233337</v>
      </c>
      <c r="T254" s="7">
        <v>69.900000000000006</v>
      </c>
      <c r="U254" s="7">
        <v>62.6</v>
      </c>
      <c r="V254" s="4"/>
    </row>
    <row r="255" spans="1:22" x14ac:dyDescent="0.25">
      <c r="A255" s="4">
        <v>2023</v>
      </c>
      <c r="B255" s="3" t="s">
        <v>243</v>
      </c>
      <c r="C255" s="3" t="s">
        <v>244</v>
      </c>
      <c r="D255" s="3" t="s">
        <v>245</v>
      </c>
      <c r="E255" s="3" t="s">
        <v>246</v>
      </c>
      <c r="F255" s="3" t="s">
        <v>282</v>
      </c>
      <c r="G255" s="3">
        <v>306</v>
      </c>
      <c r="H255" s="3">
        <v>6</v>
      </c>
      <c r="I255" s="3">
        <v>3</v>
      </c>
      <c r="J255" s="3">
        <v>2</v>
      </c>
      <c r="K255" s="3">
        <v>6</v>
      </c>
      <c r="L255" s="6" t="s">
        <v>56</v>
      </c>
      <c r="M255" s="6" t="s">
        <v>656</v>
      </c>
      <c r="N255" s="3">
        <v>13.78</v>
      </c>
      <c r="O255" s="3">
        <v>17.8</v>
      </c>
      <c r="P255" s="3">
        <v>45.5</v>
      </c>
      <c r="Q255" s="9">
        <f t="shared" si="21"/>
        <v>12.871772727272726</v>
      </c>
      <c r="R255" s="10">
        <f t="shared" si="22"/>
        <v>1011.2972003471695</v>
      </c>
      <c r="S255" s="10">
        <f t="shared" si="23"/>
        <v>902.13844812414754</v>
      </c>
      <c r="T255" s="7">
        <v>72.7</v>
      </c>
      <c r="U255" s="7">
        <v>64.8</v>
      </c>
      <c r="V255" s="4"/>
    </row>
    <row r="256" spans="1:22" x14ac:dyDescent="0.25">
      <c r="A256" s="4">
        <v>2023</v>
      </c>
      <c r="B256" s="3" t="s">
        <v>243</v>
      </c>
      <c r="C256" s="3" t="s">
        <v>244</v>
      </c>
      <c r="D256" s="3" t="s">
        <v>245</v>
      </c>
      <c r="E256" s="3" t="s">
        <v>246</v>
      </c>
      <c r="F256" s="3" t="s">
        <v>283</v>
      </c>
      <c r="G256" s="3">
        <v>307</v>
      </c>
      <c r="H256" s="3">
        <v>7</v>
      </c>
      <c r="I256" s="3">
        <v>3</v>
      </c>
      <c r="J256" s="3">
        <v>2</v>
      </c>
      <c r="K256" s="3">
        <v>3</v>
      </c>
      <c r="L256" s="6" t="s">
        <v>100</v>
      </c>
      <c r="M256" s="6" t="s">
        <v>656</v>
      </c>
      <c r="N256" s="3">
        <v>13.7</v>
      </c>
      <c r="O256" s="3">
        <v>20.399999999999999</v>
      </c>
      <c r="P256" s="3">
        <v>44.9</v>
      </c>
      <c r="Q256" s="9">
        <f t="shared" si="21"/>
        <v>12.392272727272728</v>
      </c>
      <c r="R256" s="10">
        <f t="shared" si="22"/>
        <v>973.62430028585754</v>
      </c>
      <c r="S256" s="10">
        <f t="shared" si="23"/>
        <v>868.53193602663475</v>
      </c>
      <c r="T256" s="7">
        <v>72.5</v>
      </c>
      <c r="U256" s="7">
        <v>58.5</v>
      </c>
      <c r="V256" s="4"/>
    </row>
    <row r="257" spans="1:22" x14ac:dyDescent="0.25">
      <c r="A257" s="4">
        <v>2023</v>
      </c>
      <c r="B257" s="3" t="s">
        <v>243</v>
      </c>
      <c r="C257" s="3" t="s">
        <v>244</v>
      </c>
      <c r="D257" s="3" t="s">
        <v>245</v>
      </c>
      <c r="E257" s="3" t="s">
        <v>246</v>
      </c>
      <c r="F257" s="3" t="s">
        <v>284</v>
      </c>
      <c r="G257" s="3">
        <v>308</v>
      </c>
      <c r="H257" s="3">
        <v>8</v>
      </c>
      <c r="I257" s="3">
        <v>3</v>
      </c>
      <c r="J257" s="3">
        <v>2</v>
      </c>
      <c r="K257" s="3">
        <v>11</v>
      </c>
      <c r="L257" s="6" t="s">
        <v>27</v>
      </c>
      <c r="M257" s="6" t="s">
        <v>657</v>
      </c>
      <c r="N257" s="3">
        <v>11.46</v>
      </c>
      <c r="O257" s="3">
        <v>19.600000000000001</v>
      </c>
      <c r="P257" s="3">
        <v>45</v>
      </c>
      <c r="Q257" s="9">
        <f t="shared" si="21"/>
        <v>10.470272727272729</v>
      </c>
      <c r="R257" s="10">
        <f t="shared" si="22"/>
        <v>822.6184318440603</v>
      </c>
      <c r="S257" s="10">
        <f t="shared" si="23"/>
        <v>733.82554134171301</v>
      </c>
      <c r="T257" s="7">
        <v>75</v>
      </c>
      <c r="U257" s="7">
        <v>67.3</v>
      </c>
      <c r="V257" s="4"/>
    </row>
    <row r="258" spans="1:22" x14ac:dyDescent="0.25">
      <c r="A258" s="4">
        <v>2023</v>
      </c>
      <c r="B258" s="3" t="s">
        <v>243</v>
      </c>
      <c r="C258" s="3" t="s">
        <v>244</v>
      </c>
      <c r="D258" s="3" t="s">
        <v>245</v>
      </c>
      <c r="E258" s="3" t="s">
        <v>246</v>
      </c>
      <c r="F258" s="3" t="s">
        <v>285</v>
      </c>
      <c r="G258" s="3">
        <v>309</v>
      </c>
      <c r="H258" s="3">
        <v>9</v>
      </c>
      <c r="I258" s="3">
        <v>3</v>
      </c>
      <c r="J258" s="3">
        <v>2</v>
      </c>
      <c r="K258" s="3">
        <v>18</v>
      </c>
      <c r="L258" s="6" t="s">
        <v>42</v>
      </c>
      <c r="M258" s="6" t="s">
        <v>656</v>
      </c>
      <c r="N258" s="3">
        <v>11</v>
      </c>
      <c r="O258" s="3">
        <v>17.600000000000001</v>
      </c>
      <c r="P258" s="3">
        <v>45.7</v>
      </c>
      <c r="Q258" s="9">
        <f t="shared" si="21"/>
        <v>10.3</v>
      </c>
      <c r="R258" s="10">
        <f t="shared" si="22"/>
        <v>809.24060611369009</v>
      </c>
      <c r="S258" s="10">
        <f t="shared" si="23"/>
        <v>721.89170928964325</v>
      </c>
      <c r="T258" s="7">
        <v>72.8</v>
      </c>
      <c r="U258" s="7">
        <v>67.2</v>
      </c>
      <c r="V258" s="4"/>
    </row>
    <row r="259" spans="1:22" x14ac:dyDescent="0.25">
      <c r="A259" s="4">
        <v>2023</v>
      </c>
      <c r="B259" s="3" t="s">
        <v>243</v>
      </c>
      <c r="C259" s="3" t="s">
        <v>244</v>
      </c>
      <c r="D259" s="3" t="s">
        <v>245</v>
      </c>
      <c r="E259" s="3" t="s">
        <v>246</v>
      </c>
      <c r="F259" s="3" t="s">
        <v>286</v>
      </c>
      <c r="G259" s="3">
        <v>310</v>
      </c>
      <c r="H259" s="3">
        <v>10</v>
      </c>
      <c r="I259" s="3">
        <v>3</v>
      </c>
      <c r="J259" s="3">
        <v>2</v>
      </c>
      <c r="K259" s="3">
        <v>2</v>
      </c>
      <c r="L259" s="6" t="s">
        <v>100</v>
      </c>
      <c r="M259" s="6" t="s">
        <v>657</v>
      </c>
      <c r="N259" s="3">
        <v>15.95</v>
      </c>
      <c r="O259" s="3">
        <v>18.2</v>
      </c>
      <c r="P259" s="3">
        <v>45.7</v>
      </c>
      <c r="Q259" s="9">
        <f t="shared" si="21"/>
        <v>14.82625</v>
      </c>
      <c r="R259" s="10">
        <f t="shared" si="22"/>
        <v>1164.8547122711745</v>
      </c>
      <c r="S259" s="10">
        <f t="shared" si="23"/>
        <v>1039.1210635782111</v>
      </c>
      <c r="T259" s="7">
        <v>73.5</v>
      </c>
      <c r="U259" s="7">
        <v>60</v>
      </c>
      <c r="V259" s="4"/>
    </row>
    <row r="260" spans="1:22" x14ac:dyDescent="0.25">
      <c r="A260" s="4">
        <v>2023</v>
      </c>
      <c r="B260" s="3" t="s">
        <v>243</v>
      </c>
      <c r="C260" s="3" t="s">
        <v>244</v>
      </c>
      <c r="D260" s="3" t="s">
        <v>245</v>
      </c>
      <c r="E260" s="3" t="s">
        <v>246</v>
      </c>
      <c r="F260" s="3" t="s">
        <v>287</v>
      </c>
      <c r="G260" s="3">
        <v>311</v>
      </c>
      <c r="H260" s="3">
        <v>11</v>
      </c>
      <c r="I260" s="3">
        <v>3</v>
      </c>
      <c r="J260" s="3">
        <v>2</v>
      </c>
      <c r="K260" s="3">
        <v>13</v>
      </c>
      <c r="L260" s="6" t="s">
        <v>87</v>
      </c>
      <c r="M260" s="6" t="s">
        <v>658</v>
      </c>
      <c r="N260" s="3">
        <v>10.37</v>
      </c>
      <c r="O260" s="3">
        <v>14.5</v>
      </c>
      <c r="P260" s="3">
        <v>46.8</v>
      </c>
      <c r="Q260" s="9">
        <f t="shared" si="21"/>
        <v>10.075397727272726</v>
      </c>
      <c r="R260" s="10">
        <f t="shared" si="22"/>
        <v>791.59426831598807</v>
      </c>
      <c r="S260" s="10">
        <f t="shared" si="23"/>
        <v>706.1501055450384</v>
      </c>
      <c r="T260" s="7">
        <v>70.7</v>
      </c>
      <c r="U260" s="7">
        <v>52.1</v>
      </c>
      <c r="V260" s="4"/>
    </row>
    <row r="261" spans="1:22" x14ac:dyDescent="0.25">
      <c r="A261" s="4">
        <v>2023</v>
      </c>
      <c r="B261" s="3" t="s">
        <v>243</v>
      </c>
      <c r="C261" s="3" t="s">
        <v>244</v>
      </c>
      <c r="D261" s="3" t="s">
        <v>245</v>
      </c>
      <c r="E261" s="3" t="s">
        <v>246</v>
      </c>
      <c r="F261" s="3" t="s">
        <v>288</v>
      </c>
      <c r="G261" s="3">
        <v>312</v>
      </c>
      <c r="H261" s="3">
        <v>12</v>
      </c>
      <c r="I261" s="3">
        <v>3</v>
      </c>
      <c r="J261" s="3">
        <v>2</v>
      </c>
      <c r="K261" s="3">
        <v>15</v>
      </c>
      <c r="L261" s="6" t="s">
        <v>87</v>
      </c>
      <c r="M261" s="6" t="s">
        <v>656</v>
      </c>
      <c r="N261" s="3">
        <v>9.8800000000000008</v>
      </c>
      <c r="O261" s="3">
        <v>14.4</v>
      </c>
      <c r="P261" s="3">
        <v>46.7</v>
      </c>
      <c r="Q261" s="9">
        <f t="shared" si="21"/>
        <v>9.6105454545454556</v>
      </c>
      <c r="R261" s="10">
        <f t="shared" si="22"/>
        <v>755.07219696306151</v>
      </c>
      <c r="S261" s="10">
        <f t="shared" si="23"/>
        <v>673.57020246481852</v>
      </c>
      <c r="T261" s="7">
        <v>70.400000000000006</v>
      </c>
      <c r="U261" s="7">
        <v>49.8</v>
      </c>
      <c r="V261" s="4"/>
    </row>
    <row r="262" spans="1:22" x14ac:dyDescent="0.25">
      <c r="A262" s="4">
        <v>2023</v>
      </c>
      <c r="B262" s="3" t="s">
        <v>243</v>
      </c>
      <c r="C262" s="3" t="s">
        <v>244</v>
      </c>
      <c r="D262" s="3" t="s">
        <v>245</v>
      </c>
      <c r="E262" s="3" t="s">
        <v>246</v>
      </c>
      <c r="F262" s="3" t="s">
        <v>289</v>
      </c>
      <c r="G262" s="3">
        <v>313</v>
      </c>
      <c r="H262" s="3">
        <v>13</v>
      </c>
      <c r="I262" s="3">
        <v>3</v>
      </c>
      <c r="J262" s="3">
        <v>2</v>
      </c>
      <c r="K262" s="3">
        <v>17</v>
      </c>
      <c r="L262" s="6" t="s">
        <v>42</v>
      </c>
      <c r="M262" s="6" t="s">
        <v>657</v>
      </c>
      <c r="N262" s="3">
        <v>10.45</v>
      </c>
      <c r="O262" s="3">
        <v>17.100000000000001</v>
      </c>
      <c r="P262" s="3">
        <v>45.8</v>
      </c>
      <c r="Q262" s="9">
        <f t="shared" si="21"/>
        <v>9.8443749999999977</v>
      </c>
      <c r="R262" s="10">
        <f t="shared" si="22"/>
        <v>773.44349435052959</v>
      </c>
      <c r="S262" s="10">
        <f t="shared" si="23"/>
        <v>689.95851413963385</v>
      </c>
      <c r="T262" s="7">
        <v>73</v>
      </c>
      <c r="U262" s="7">
        <v>68.5</v>
      </c>
      <c r="V262" s="4"/>
    </row>
    <row r="263" spans="1:22" x14ac:dyDescent="0.25">
      <c r="A263" s="4">
        <v>2023</v>
      </c>
      <c r="B263" s="3" t="s">
        <v>243</v>
      </c>
      <c r="C263" s="3" t="s">
        <v>244</v>
      </c>
      <c r="D263" s="3" t="s">
        <v>245</v>
      </c>
      <c r="E263" s="3" t="s">
        <v>246</v>
      </c>
      <c r="F263" s="3" t="s">
        <v>290</v>
      </c>
      <c r="G263" s="3">
        <v>314</v>
      </c>
      <c r="H263" s="3">
        <v>14</v>
      </c>
      <c r="I263" s="3">
        <v>3</v>
      </c>
      <c r="J263" s="3">
        <v>2</v>
      </c>
      <c r="K263" s="3" t="s">
        <v>268</v>
      </c>
      <c r="L263" s="6" t="s">
        <v>269</v>
      </c>
      <c r="M263" s="6" t="s">
        <v>658</v>
      </c>
      <c r="N263" s="3">
        <v>5.21</v>
      </c>
      <c r="O263" s="3">
        <v>20.9</v>
      </c>
      <c r="P263" s="3">
        <v>43.9</v>
      </c>
      <c r="Q263" s="9">
        <f t="shared" si="21"/>
        <v>4.6830795454545449</v>
      </c>
      <c r="R263" s="10">
        <f t="shared" si="22"/>
        <v>367.93574076138447</v>
      </c>
      <c r="S263" s="10">
        <f t="shared" si="23"/>
        <v>328.22099978714044</v>
      </c>
      <c r="T263" s="7">
        <v>70.5</v>
      </c>
      <c r="U263" s="7">
        <v>58.9</v>
      </c>
      <c r="V263" s="4"/>
    </row>
    <row r="264" spans="1:22" x14ac:dyDescent="0.25">
      <c r="A264" s="4">
        <v>2023</v>
      </c>
      <c r="B264" s="3" t="s">
        <v>243</v>
      </c>
      <c r="C264" s="3" t="s">
        <v>244</v>
      </c>
      <c r="D264" s="3" t="s">
        <v>245</v>
      </c>
      <c r="E264" s="3" t="s">
        <v>246</v>
      </c>
      <c r="F264" s="3" t="s">
        <v>291</v>
      </c>
      <c r="G264" s="3">
        <v>401</v>
      </c>
      <c r="H264" s="3">
        <v>1</v>
      </c>
      <c r="I264" s="3">
        <v>4</v>
      </c>
      <c r="J264" s="3">
        <v>3</v>
      </c>
      <c r="K264" s="3">
        <v>7</v>
      </c>
      <c r="L264" s="6" t="s">
        <v>69</v>
      </c>
      <c r="M264" s="6" t="s">
        <v>658</v>
      </c>
      <c r="N264" s="3">
        <v>13.98</v>
      </c>
      <c r="O264" s="3">
        <v>7.92</v>
      </c>
      <c r="P264" s="3">
        <v>46.4</v>
      </c>
      <c r="Q264" s="9">
        <f t="shared" si="21"/>
        <v>14.628163636363638</v>
      </c>
      <c r="R264" s="10">
        <f t="shared" si="22"/>
        <v>1149.2916512059369</v>
      </c>
      <c r="S264" s="10">
        <f t="shared" si="23"/>
        <v>1025.2378690507912</v>
      </c>
      <c r="T264" s="7">
        <v>71.5</v>
      </c>
      <c r="U264" s="7">
        <v>56</v>
      </c>
      <c r="V264" s="4"/>
    </row>
    <row r="265" spans="1:22" x14ac:dyDescent="0.25">
      <c r="A265" s="4">
        <v>2023</v>
      </c>
      <c r="B265" s="3" t="s">
        <v>243</v>
      </c>
      <c r="C265" s="3" t="s">
        <v>244</v>
      </c>
      <c r="D265" s="3" t="s">
        <v>245</v>
      </c>
      <c r="E265" s="3" t="s">
        <v>246</v>
      </c>
      <c r="F265" s="3" t="s">
        <v>292</v>
      </c>
      <c r="G265" s="3">
        <v>402</v>
      </c>
      <c r="H265" s="3">
        <v>2</v>
      </c>
      <c r="I265" s="3">
        <v>4</v>
      </c>
      <c r="J265" s="3">
        <v>3</v>
      </c>
      <c r="K265" s="3">
        <v>4</v>
      </c>
      <c r="L265" s="6" t="s">
        <v>56</v>
      </c>
      <c r="M265" s="6" t="s">
        <v>658</v>
      </c>
      <c r="N265" s="3">
        <v>8.2200000000000006</v>
      </c>
      <c r="O265" s="3">
        <v>8.3000000000000007</v>
      </c>
      <c r="P265" s="3">
        <v>45.9</v>
      </c>
      <c r="Q265" s="9">
        <f t="shared" si="21"/>
        <v>8.5656136363636382</v>
      </c>
      <c r="R265" s="10">
        <f t="shared" si="22"/>
        <v>672.97498745889322</v>
      </c>
      <c r="S265" s="10">
        <f t="shared" si="23"/>
        <v>600.33451156011881</v>
      </c>
      <c r="T265" s="7">
        <v>72.099999999999994</v>
      </c>
      <c r="U265" s="7">
        <v>61.4</v>
      </c>
      <c r="V265" s="4"/>
    </row>
    <row r="266" spans="1:22" x14ac:dyDescent="0.25">
      <c r="A266" s="4">
        <v>2023</v>
      </c>
      <c r="B266" s="3" t="s">
        <v>243</v>
      </c>
      <c r="C266" s="3" t="s">
        <v>244</v>
      </c>
      <c r="D266" s="3" t="s">
        <v>245</v>
      </c>
      <c r="E266" s="3" t="s">
        <v>246</v>
      </c>
      <c r="F266" s="3" t="s">
        <v>293</v>
      </c>
      <c r="G266" s="3">
        <v>403</v>
      </c>
      <c r="H266" s="3">
        <v>3</v>
      </c>
      <c r="I266" s="3">
        <v>4</v>
      </c>
      <c r="J266" s="3">
        <v>3</v>
      </c>
      <c r="K266" s="3">
        <v>8</v>
      </c>
      <c r="L266" s="6" t="s">
        <v>69</v>
      </c>
      <c r="M266" s="6" t="s">
        <v>657</v>
      </c>
      <c r="N266" s="3">
        <v>13.69</v>
      </c>
      <c r="O266" s="3">
        <v>15.9</v>
      </c>
      <c r="P266" s="3">
        <v>46.4</v>
      </c>
      <c r="Q266" s="9">
        <f t="shared" si="21"/>
        <v>13.083284090909091</v>
      </c>
      <c r="R266" s="10">
        <f t="shared" si="22"/>
        <v>1027.9150240470749</v>
      </c>
      <c r="S266" s="10">
        <f t="shared" si="23"/>
        <v>916.96255490372425</v>
      </c>
      <c r="T266" s="7">
        <v>71.400000000000006</v>
      </c>
      <c r="U266" s="7">
        <v>56.6</v>
      </c>
      <c r="V266" s="4"/>
    </row>
    <row r="267" spans="1:22" x14ac:dyDescent="0.25">
      <c r="A267" s="4">
        <v>2023</v>
      </c>
      <c r="B267" s="3" t="s">
        <v>243</v>
      </c>
      <c r="C267" s="3" t="s">
        <v>244</v>
      </c>
      <c r="D267" s="3" t="s">
        <v>245</v>
      </c>
      <c r="E267" s="3" t="s">
        <v>246</v>
      </c>
      <c r="F267" s="3" t="s">
        <v>294</v>
      </c>
      <c r="G267" s="3">
        <v>404</v>
      </c>
      <c r="H267" s="3">
        <v>4</v>
      </c>
      <c r="I267" s="3">
        <v>4</v>
      </c>
      <c r="J267" s="3">
        <v>3</v>
      </c>
      <c r="K267" s="3">
        <v>17</v>
      </c>
      <c r="L267" s="6" t="s">
        <v>42</v>
      </c>
      <c r="M267" s="6" t="s">
        <v>657</v>
      </c>
      <c r="N267" s="3">
        <v>12.04</v>
      </c>
      <c r="O267" s="3">
        <v>18.2</v>
      </c>
      <c r="P267" s="3">
        <v>45.4</v>
      </c>
      <c r="Q267" s="9">
        <f t="shared" si="21"/>
        <v>11.191727272727272</v>
      </c>
      <c r="R267" s="10">
        <f t="shared" si="22"/>
        <v>879.30098656708071</v>
      </c>
      <c r="S267" s="10">
        <f t="shared" si="23"/>
        <v>784.38981852549568</v>
      </c>
      <c r="T267" s="7">
        <v>72.7</v>
      </c>
      <c r="U267" s="7">
        <v>67.900000000000006</v>
      </c>
      <c r="V267" s="4"/>
    </row>
    <row r="268" spans="1:22" x14ac:dyDescent="0.25">
      <c r="A268" s="4">
        <v>2023</v>
      </c>
      <c r="B268" s="3" t="s">
        <v>243</v>
      </c>
      <c r="C268" s="3" t="s">
        <v>244</v>
      </c>
      <c r="D268" s="3" t="s">
        <v>245</v>
      </c>
      <c r="E268" s="3" t="s">
        <v>246</v>
      </c>
      <c r="F268" s="3" t="s">
        <v>295</v>
      </c>
      <c r="G268" s="3">
        <v>405</v>
      </c>
      <c r="H268" s="3">
        <v>5</v>
      </c>
      <c r="I268" s="3">
        <v>4</v>
      </c>
      <c r="J268" s="3">
        <v>3</v>
      </c>
      <c r="K268" s="3">
        <v>11</v>
      </c>
      <c r="L268" s="6" t="s">
        <v>27</v>
      </c>
      <c r="M268" s="6" t="s">
        <v>657</v>
      </c>
      <c r="N268" s="3">
        <v>12.88</v>
      </c>
      <c r="O268" s="3">
        <v>20.2</v>
      </c>
      <c r="P268" s="3">
        <v>44.8</v>
      </c>
      <c r="Q268" s="9">
        <f t="shared" si="21"/>
        <v>11.679818181818185</v>
      </c>
      <c r="R268" s="10">
        <f t="shared" si="22"/>
        <v>917.64884900507241</v>
      </c>
      <c r="S268" s="10">
        <f t="shared" si="23"/>
        <v>818.59843800630904</v>
      </c>
      <c r="T268" s="7">
        <v>74.8</v>
      </c>
      <c r="U268" s="7">
        <v>67.900000000000006</v>
      </c>
      <c r="V268" s="4"/>
    </row>
    <row r="269" spans="1:22" x14ac:dyDescent="0.25">
      <c r="A269" s="4">
        <v>2023</v>
      </c>
      <c r="B269" s="3" t="s">
        <v>243</v>
      </c>
      <c r="C269" s="3" t="s">
        <v>244</v>
      </c>
      <c r="D269" s="3" t="s">
        <v>245</v>
      </c>
      <c r="E269" s="3" t="s">
        <v>246</v>
      </c>
      <c r="F269" s="3" t="s">
        <v>296</v>
      </c>
      <c r="G269" s="3">
        <v>406</v>
      </c>
      <c r="H269" s="3">
        <v>6</v>
      </c>
      <c r="I269" s="3">
        <v>4</v>
      </c>
      <c r="J269" s="3">
        <v>3</v>
      </c>
      <c r="K269" s="3">
        <v>16</v>
      </c>
      <c r="L269" s="6" t="s">
        <v>42</v>
      </c>
      <c r="M269" s="6" t="s">
        <v>658</v>
      </c>
      <c r="N269" s="3">
        <v>11.18</v>
      </c>
      <c r="O269" s="3">
        <v>17.600000000000001</v>
      </c>
      <c r="P269" s="3">
        <v>45.6</v>
      </c>
      <c r="Q269" s="9">
        <f t="shared" si="21"/>
        <v>10.468545454545454</v>
      </c>
      <c r="R269" s="10">
        <f t="shared" si="22"/>
        <v>822.48272512282313</v>
      </c>
      <c r="S269" s="10">
        <f t="shared" si="23"/>
        <v>733.70448271438283</v>
      </c>
      <c r="T269" s="7">
        <v>73.099999999999994</v>
      </c>
      <c r="U269" s="7">
        <v>68.3</v>
      </c>
      <c r="V269" s="4"/>
    </row>
    <row r="270" spans="1:22" x14ac:dyDescent="0.25">
      <c r="A270" s="4">
        <v>2023</v>
      </c>
      <c r="B270" s="3" t="s">
        <v>243</v>
      </c>
      <c r="C270" s="3" t="s">
        <v>244</v>
      </c>
      <c r="D270" s="3" t="s">
        <v>245</v>
      </c>
      <c r="E270" s="3" t="s">
        <v>246</v>
      </c>
      <c r="F270" s="3" t="s">
        <v>297</v>
      </c>
      <c r="G270" s="3">
        <v>407</v>
      </c>
      <c r="H270" s="3">
        <v>7</v>
      </c>
      <c r="I270" s="3">
        <v>4</v>
      </c>
      <c r="J270" s="3">
        <v>3</v>
      </c>
      <c r="K270" s="3">
        <v>10</v>
      </c>
      <c r="L270" s="6" t="s">
        <v>27</v>
      </c>
      <c r="M270" s="6" t="s">
        <v>658</v>
      </c>
      <c r="N270" s="3">
        <v>13.41</v>
      </c>
      <c r="O270" s="3">
        <v>20.399999999999999</v>
      </c>
      <c r="P270" s="3">
        <v>44.9</v>
      </c>
      <c r="Q270" s="9">
        <f t="shared" si="21"/>
        <v>12.129954545454545</v>
      </c>
      <c r="R270" s="10">
        <f t="shared" si="22"/>
        <v>953.0147348053539</v>
      </c>
      <c r="S270" s="10">
        <f t="shared" si="23"/>
        <v>850.1469534392096</v>
      </c>
      <c r="T270" s="7">
        <v>74.900000000000006</v>
      </c>
      <c r="U270" s="7">
        <v>67.5</v>
      </c>
      <c r="V270" s="4"/>
    </row>
    <row r="271" spans="1:22" x14ac:dyDescent="0.25">
      <c r="A271" s="4">
        <v>2023</v>
      </c>
      <c r="B271" s="3" t="s">
        <v>243</v>
      </c>
      <c r="C271" s="3" t="s">
        <v>244</v>
      </c>
      <c r="D271" s="3" t="s">
        <v>245</v>
      </c>
      <c r="E271" s="3" t="s">
        <v>246</v>
      </c>
      <c r="F271" s="3" t="s">
        <v>298</v>
      </c>
      <c r="G271" s="3">
        <v>408</v>
      </c>
      <c r="H271" s="3">
        <v>8</v>
      </c>
      <c r="I271" s="3">
        <v>4</v>
      </c>
      <c r="J271" s="3">
        <v>3</v>
      </c>
      <c r="K271" s="3">
        <v>20</v>
      </c>
      <c r="L271" s="6" t="s">
        <v>82</v>
      </c>
      <c r="M271" s="6" t="s">
        <v>658</v>
      </c>
      <c r="N271" s="3">
        <v>12.32</v>
      </c>
      <c r="O271" s="3">
        <v>19</v>
      </c>
      <c r="P271" s="3">
        <v>45.4</v>
      </c>
      <c r="Q271" s="9">
        <f t="shared" si="21"/>
        <v>11.34</v>
      </c>
      <c r="R271" s="10">
        <f t="shared" si="22"/>
        <v>890.95033721643165</v>
      </c>
      <c r="S271" s="10">
        <f t="shared" si="23"/>
        <v>794.78174595578207</v>
      </c>
      <c r="T271" s="7">
        <v>72.900000000000006</v>
      </c>
      <c r="U271" s="7">
        <v>63.9</v>
      </c>
      <c r="V271" s="4"/>
    </row>
    <row r="272" spans="1:22" x14ac:dyDescent="0.25">
      <c r="A272" s="4">
        <v>2023</v>
      </c>
      <c r="B272" s="3" t="s">
        <v>243</v>
      </c>
      <c r="C272" s="3" t="s">
        <v>244</v>
      </c>
      <c r="D272" s="3" t="s">
        <v>245</v>
      </c>
      <c r="E272" s="3" t="s">
        <v>246</v>
      </c>
      <c r="F272" s="3" t="s">
        <v>299</v>
      </c>
      <c r="G272" s="3">
        <v>409</v>
      </c>
      <c r="H272" s="3">
        <v>9</v>
      </c>
      <c r="I272" s="3">
        <v>4</v>
      </c>
      <c r="J272" s="3">
        <v>3</v>
      </c>
      <c r="K272" s="3">
        <v>1</v>
      </c>
      <c r="L272" s="6" t="s">
        <v>100</v>
      </c>
      <c r="M272" s="6" t="s">
        <v>658</v>
      </c>
      <c r="N272" s="3">
        <v>14.92</v>
      </c>
      <c r="O272" s="3">
        <v>18.100000000000001</v>
      </c>
      <c r="P272" s="3">
        <v>45.8</v>
      </c>
      <c r="Q272" s="9">
        <f t="shared" si="21"/>
        <v>13.885772727272727</v>
      </c>
      <c r="R272" s="10">
        <f t="shared" si="22"/>
        <v>1090.9641881723426</v>
      </c>
      <c r="S272" s="10">
        <f t="shared" si="23"/>
        <v>973.20623387363298</v>
      </c>
      <c r="T272" s="7">
        <v>72.400000000000006</v>
      </c>
      <c r="U272" s="7">
        <v>55.9</v>
      </c>
      <c r="V272" s="4"/>
    </row>
    <row r="273" spans="1:22" x14ac:dyDescent="0.25">
      <c r="A273" s="4">
        <v>2023</v>
      </c>
      <c r="B273" s="3" t="s">
        <v>243</v>
      </c>
      <c r="C273" s="3" t="s">
        <v>244</v>
      </c>
      <c r="D273" s="3" t="s">
        <v>245</v>
      </c>
      <c r="E273" s="3" t="s">
        <v>246</v>
      </c>
      <c r="F273" s="3" t="s">
        <v>300</v>
      </c>
      <c r="G273" s="3">
        <v>410</v>
      </c>
      <c r="H273" s="3">
        <v>10</v>
      </c>
      <c r="I273" s="3">
        <v>4</v>
      </c>
      <c r="J273" s="3">
        <v>3</v>
      </c>
      <c r="K273" s="3">
        <v>14</v>
      </c>
      <c r="L273" s="6" t="s">
        <v>87</v>
      </c>
      <c r="M273" s="6" t="s">
        <v>657</v>
      </c>
      <c r="N273" s="3">
        <v>9.89</v>
      </c>
      <c r="O273" s="3">
        <v>14.5</v>
      </c>
      <c r="P273" s="3">
        <v>46.7</v>
      </c>
      <c r="Q273" s="9">
        <f t="shared" si="21"/>
        <v>9.6090340909090912</v>
      </c>
      <c r="R273" s="10">
        <f t="shared" si="22"/>
        <v>754.95345358197892</v>
      </c>
      <c r="S273" s="10">
        <f t="shared" si="23"/>
        <v>673.46427616590449</v>
      </c>
      <c r="T273" s="7">
        <v>71</v>
      </c>
      <c r="U273" s="7">
        <v>50.6</v>
      </c>
      <c r="V273" s="4"/>
    </row>
    <row r="274" spans="1:22" x14ac:dyDescent="0.25">
      <c r="A274" s="4">
        <v>2023</v>
      </c>
      <c r="B274" s="3" t="s">
        <v>243</v>
      </c>
      <c r="C274" s="3" t="s">
        <v>244</v>
      </c>
      <c r="D274" s="3" t="s">
        <v>245</v>
      </c>
      <c r="E274" s="3" t="s">
        <v>246</v>
      </c>
      <c r="F274" s="3" t="s">
        <v>301</v>
      </c>
      <c r="G274" s="3">
        <v>411</v>
      </c>
      <c r="H274" s="3">
        <v>11</v>
      </c>
      <c r="I274" s="3">
        <v>4</v>
      </c>
      <c r="J274" s="3">
        <v>3</v>
      </c>
      <c r="K274" s="3">
        <v>15</v>
      </c>
      <c r="L274" s="6" t="s">
        <v>87</v>
      </c>
      <c r="M274" s="6" t="s">
        <v>656</v>
      </c>
      <c r="N274" s="3">
        <v>10.66</v>
      </c>
      <c r="O274" s="3">
        <v>14.4</v>
      </c>
      <c r="P274" s="3">
        <v>46.7</v>
      </c>
      <c r="Q274" s="9">
        <f t="shared" si="21"/>
        <v>10.369272727272726</v>
      </c>
      <c r="R274" s="10">
        <f t="shared" si="22"/>
        <v>814.68315988119775</v>
      </c>
      <c r="S274" s="10">
        <f t="shared" si="23"/>
        <v>726.7467973962514</v>
      </c>
      <c r="T274" s="7">
        <v>70.7</v>
      </c>
      <c r="U274" s="7">
        <v>51.1</v>
      </c>
      <c r="V274" s="4"/>
    </row>
    <row r="275" spans="1:22" x14ac:dyDescent="0.25">
      <c r="A275" s="4">
        <v>2023</v>
      </c>
      <c r="B275" s="3" t="s">
        <v>243</v>
      </c>
      <c r="C275" s="3" t="s">
        <v>244</v>
      </c>
      <c r="D275" s="3" t="s">
        <v>245</v>
      </c>
      <c r="E275" s="3" t="s">
        <v>246</v>
      </c>
      <c r="F275" s="3" t="s">
        <v>302</v>
      </c>
      <c r="G275" s="3">
        <v>412</v>
      </c>
      <c r="H275" s="3">
        <v>12</v>
      </c>
      <c r="I275" s="3">
        <v>4</v>
      </c>
      <c r="J275" s="3">
        <v>3</v>
      </c>
      <c r="K275" s="3">
        <v>6</v>
      </c>
      <c r="L275" s="6" t="s">
        <v>56</v>
      </c>
      <c r="M275" s="6" t="s">
        <v>656</v>
      </c>
      <c r="N275" s="3">
        <v>13.71</v>
      </c>
      <c r="O275" s="3">
        <v>16.5</v>
      </c>
      <c r="P275" s="3">
        <v>46.1</v>
      </c>
      <c r="Q275" s="9">
        <f t="shared" si="21"/>
        <v>13.008920454545455</v>
      </c>
      <c r="R275" s="10">
        <f t="shared" si="22"/>
        <v>1022.0724925748684</v>
      </c>
      <c r="S275" s="10">
        <f t="shared" si="23"/>
        <v>911.75066242182731</v>
      </c>
      <c r="T275" s="7">
        <v>72.8</v>
      </c>
      <c r="U275" s="7">
        <v>63.8</v>
      </c>
      <c r="V275" s="4"/>
    </row>
    <row r="276" spans="1:22" x14ac:dyDescent="0.25">
      <c r="A276" s="4">
        <v>2023</v>
      </c>
      <c r="B276" s="3" t="s">
        <v>243</v>
      </c>
      <c r="C276" s="3" t="s">
        <v>244</v>
      </c>
      <c r="D276" s="3" t="s">
        <v>245</v>
      </c>
      <c r="E276" s="3" t="s">
        <v>246</v>
      </c>
      <c r="F276" s="3" t="s">
        <v>303</v>
      </c>
      <c r="G276" s="3">
        <v>413</v>
      </c>
      <c r="H276" s="3">
        <v>13</v>
      </c>
      <c r="I276" s="3">
        <v>4</v>
      </c>
      <c r="J276" s="3">
        <v>3</v>
      </c>
      <c r="K276" s="3">
        <v>13</v>
      </c>
      <c r="L276" s="6" t="s">
        <v>87</v>
      </c>
      <c r="M276" s="6" t="s">
        <v>658</v>
      </c>
      <c r="N276" s="3">
        <v>9.5</v>
      </c>
      <c r="O276" s="3">
        <v>13.5</v>
      </c>
      <c r="P276" s="3">
        <v>47.1</v>
      </c>
      <c r="Q276" s="9">
        <f t="shared" si="21"/>
        <v>9.3380681818181817</v>
      </c>
      <c r="R276" s="10">
        <f t="shared" si="22"/>
        <v>733.66446168791344</v>
      </c>
      <c r="S276" s="10">
        <f t="shared" si="23"/>
        <v>654.47320400349099</v>
      </c>
      <c r="T276" s="7">
        <v>71.400000000000006</v>
      </c>
      <c r="U276" s="7">
        <v>52.1</v>
      </c>
      <c r="V276" s="4"/>
    </row>
    <row r="277" spans="1:22" x14ac:dyDescent="0.25">
      <c r="A277" s="4">
        <v>2023</v>
      </c>
      <c r="B277" s="3" t="s">
        <v>243</v>
      </c>
      <c r="C277" s="3" t="s">
        <v>244</v>
      </c>
      <c r="D277" s="3" t="s">
        <v>245</v>
      </c>
      <c r="E277" s="3" t="s">
        <v>246</v>
      </c>
      <c r="F277" s="3" t="s">
        <v>304</v>
      </c>
      <c r="G277" s="3">
        <v>414</v>
      </c>
      <c r="H277" s="3">
        <v>14</v>
      </c>
      <c r="I277" s="3">
        <v>4</v>
      </c>
      <c r="J277" s="3">
        <v>3</v>
      </c>
      <c r="K277" s="3">
        <v>2</v>
      </c>
      <c r="L277" s="6" t="s">
        <v>100</v>
      </c>
      <c r="M277" s="6" t="s">
        <v>657</v>
      </c>
      <c r="N277" s="3">
        <v>15.71</v>
      </c>
      <c r="O277" s="3">
        <v>18.899999999999999</v>
      </c>
      <c r="P277" s="3">
        <v>45.4</v>
      </c>
      <c r="Q277" s="9">
        <f t="shared" si="21"/>
        <v>14.478193181818183</v>
      </c>
      <c r="R277" s="10">
        <f t="shared" si="22"/>
        <v>1137.5089151345283</v>
      </c>
      <c r="S277" s="10">
        <f t="shared" si="23"/>
        <v>1014.7269537328531</v>
      </c>
      <c r="T277" s="7">
        <v>73.400000000000006</v>
      </c>
      <c r="U277" s="7">
        <v>61</v>
      </c>
      <c r="V277" s="4"/>
    </row>
    <row r="278" spans="1:22" x14ac:dyDescent="0.25">
      <c r="A278" s="4">
        <v>2023</v>
      </c>
      <c r="B278" s="3" t="s">
        <v>243</v>
      </c>
      <c r="C278" s="3" t="s">
        <v>244</v>
      </c>
      <c r="D278" s="3" t="s">
        <v>245</v>
      </c>
      <c r="E278" s="3" t="s">
        <v>246</v>
      </c>
      <c r="F278" s="3" t="s">
        <v>305</v>
      </c>
      <c r="G278" s="3">
        <v>501</v>
      </c>
      <c r="H278" s="3">
        <v>1</v>
      </c>
      <c r="I278" s="3">
        <v>5</v>
      </c>
      <c r="J278" s="3">
        <v>3</v>
      </c>
      <c r="K278" s="3">
        <v>18</v>
      </c>
      <c r="L278" s="6" t="s">
        <v>42</v>
      </c>
      <c r="M278" s="6" t="s">
        <v>656</v>
      </c>
      <c r="N278" s="3">
        <v>11.38</v>
      </c>
      <c r="O278" s="3">
        <v>8.9700000000000006</v>
      </c>
      <c r="P278" s="3">
        <v>45.7</v>
      </c>
      <c r="Q278" s="9">
        <f t="shared" si="21"/>
        <v>11.771834090909092</v>
      </c>
      <c r="R278" s="10">
        <f t="shared" si="22"/>
        <v>924.87826745602649</v>
      </c>
      <c r="S278" s="10">
        <f t="shared" si="23"/>
        <v>825.04751780198615</v>
      </c>
      <c r="T278" s="7">
        <v>73.099999999999994</v>
      </c>
      <c r="U278" s="7">
        <v>67</v>
      </c>
      <c r="V278" s="4"/>
    </row>
    <row r="279" spans="1:22" x14ac:dyDescent="0.25">
      <c r="A279" s="4">
        <v>2023</v>
      </c>
      <c r="B279" s="3" t="s">
        <v>243</v>
      </c>
      <c r="C279" s="3" t="s">
        <v>244</v>
      </c>
      <c r="D279" s="3" t="s">
        <v>245</v>
      </c>
      <c r="E279" s="3" t="s">
        <v>246</v>
      </c>
      <c r="F279" s="3" t="s">
        <v>306</v>
      </c>
      <c r="G279" s="3">
        <v>502</v>
      </c>
      <c r="H279" s="3">
        <v>2</v>
      </c>
      <c r="I279" s="3">
        <v>5</v>
      </c>
      <c r="J279" s="3">
        <v>3</v>
      </c>
      <c r="K279" s="3">
        <v>9</v>
      </c>
      <c r="L279" s="6" t="s">
        <v>69</v>
      </c>
      <c r="M279" s="6" t="s">
        <v>656</v>
      </c>
      <c r="N279" s="3">
        <v>13.37</v>
      </c>
      <c r="O279" s="3">
        <v>6.11</v>
      </c>
      <c r="P279" s="3">
        <v>47</v>
      </c>
      <c r="Q279" s="9">
        <f t="shared" si="21"/>
        <v>14.264878409090908</v>
      </c>
      <c r="R279" s="10">
        <f t="shared" si="22"/>
        <v>1120.7494029039631</v>
      </c>
      <c r="S279" s="10">
        <f t="shared" si="23"/>
        <v>999.7764521890839</v>
      </c>
      <c r="T279" s="7">
        <v>72</v>
      </c>
      <c r="U279" s="7">
        <v>54.7</v>
      </c>
      <c r="V279" s="4"/>
    </row>
    <row r="280" spans="1:22" x14ac:dyDescent="0.25">
      <c r="A280" s="4">
        <v>2023</v>
      </c>
      <c r="B280" s="3" t="s">
        <v>243</v>
      </c>
      <c r="C280" s="3" t="s">
        <v>244</v>
      </c>
      <c r="D280" s="3" t="s">
        <v>245</v>
      </c>
      <c r="E280" s="3" t="s">
        <v>246</v>
      </c>
      <c r="F280" s="3" t="s">
        <v>307</v>
      </c>
      <c r="G280" s="3">
        <v>503</v>
      </c>
      <c r="H280" s="3">
        <v>3</v>
      </c>
      <c r="I280" s="3">
        <v>5</v>
      </c>
      <c r="J280" s="3">
        <v>3</v>
      </c>
      <c r="K280" s="3">
        <v>3</v>
      </c>
      <c r="L280" s="6" t="s">
        <v>100</v>
      </c>
      <c r="M280" s="6" t="s">
        <v>656</v>
      </c>
      <c r="N280" s="3">
        <v>14.49</v>
      </c>
      <c r="O280" s="3">
        <v>17.899999999999999</v>
      </c>
      <c r="P280" s="3">
        <v>45.7</v>
      </c>
      <c r="Q280" s="9">
        <f t="shared" si="21"/>
        <v>13.518511363636362</v>
      </c>
      <c r="R280" s="10">
        <f t="shared" si="22"/>
        <v>1062.1095465693102</v>
      </c>
      <c r="S280" s="10">
        <f t="shared" si="23"/>
        <v>947.46614323756478</v>
      </c>
      <c r="T280" s="7">
        <v>71.7</v>
      </c>
      <c r="U280" s="7">
        <v>54.4</v>
      </c>
      <c r="V280" s="4"/>
    </row>
    <row r="281" spans="1:22" x14ac:dyDescent="0.25">
      <c r="A281" s="4">
        <v>2023</v>
      </c>
      <c r="B281" s="3" t="s">
        <v>243</v>
      </c>
      <c r="C281" s="3" t="s">
        <v>244</v>
      </c>
      <c r="D281" s="3" t="s">
        <v>245</v>
      </c>
      <c r="E281" s="3" t="s">
        <v>246</v>
      </c>
      <c r="F281" s="3" t="s">
        <v>308</v>
      </c>
      <c r="G281" s="3">
        <v>504</v>
      </c>
      <c r="H281" s="3">
        <v>4</v>
      </c>
      <c r="I281" s="3">
        <v>5</v>
      </c>
      <c r="J281" s="3">
        <v>3</v>
      </c>
      <c r="K281" s="3">
        <v>5</v>
      </c>
      <c r="L281" s="6" t="s">
        <v>56</v>
      </c>
      <c r="M281" s="6" t="s">
        <v>657</v>
      </c>
      <c r="N281" s="3">
        <v>13.45</v>
      </c>
      <c r="O281" s="3">
        <v>17.600000000000001</v>
      </c>
      <c r="P281" s="3">
        <v>45.6</v>
      </c>
      <c r="Q281" s="9">
        <f t="shared" si="21"/>
        <v>12.594090909090907</v>
      </c>
      <c r="R281" s="10">
        <f t="shared" si="22"/>
        <v>989.48055929355723</v>
      </c>
      <c r="S281" s="10">
        <f t="shared" si="23"/>
        <v>882.67668090415452</v>
      </c>
      <c r="T281" s="7">
        <v>73.099999999999994</v>
      </c>
      <c r="U281" s="7">
        <v>64.900000000000006</v>
      </c>
      <c r="V281" s="4"/>
    </row>
    <row r="282" spans="1:22" x14ac:dyDescent="0.25">
      <c r="A282" s="4">
        <v>2023</v>
      </c>
      <c r="B282" s="3" t="s">
        <v>243</v>
      </c>
      <c r="C282" s="3" t="s">
        <v>244</v>
      </c>
      <c r="D282" s="3" t="s">
        <v>245</v>
      </c>
      <c r="E282" s="3" t="s">
        <v>246</v>
      </c>
      <c r="F282" s="3" t="s">
        <v>309</v>
      </c>
      <c r="G282" s="3">
        <v>505</v>
      </c>
      <c r="H282" s="3">
        <v>5</v>
      </c>
      <c r="I282" s="3">
        <v>5</v>
      </c>
      <c r="J282" s="3">
        <v>3</v>
      </c>
      <c r="K282" s="3">
        <v>19</v>
      </c>
      <c r="L282" s="6" t="s">
        <v>113</v>
      </c>
      <c r="M282" s="6" t="s">
        <v>658</v>
      </c>
      <c r="N282" s="3">
        <v>11</v>
      </c>
      <c r="O282" s="3">
        <v>22.4</v>
      </c>
      <c r="P282" s="3">
        <v>44.3</v>
      </c>
      <c r="Q282" s="9">
        <f t="shared" si="21"/>
        <v>9.6999999999999993</v>
      </c>
      <c r="R282" s="10">
        <f t="shared" si="22"/>
        <v>762.10037663133926</v>
      </c>
      <c r="S282" s="10">
        <f t="shared" si="23"/>
        <v>679.8397650591786</v>
      </c>
      <c r="T282" s="7">
        <v>69.5</v>
      </c>
      <c r="U282" s="7">
        <v>61.7</v>
      </c>
      <c r="V282" s="4"/>
    </row>
    <row r="283" spans="1:22" x14ac:dyDescent="0.25">
      <c r="A283" s="4">
        <v>2023</v>
      </c>
      <c r="B283" s="3" t="s">
        <v>243</v>
      </c>
      <c r="C283" s="3" t="s">
        <v>244</v>
      </c>
      <c r="D283" s="3" t="s">
        <v>245</v>
      </c>
      <c r="E283" s="3" t="s">
        <v>246</v>
      </c>
      <c r="F283" s="3" t="s">
        <v>310</v>
      </c>
      <c r="G283" s="3">
        <v>506</v>
      </c>
      <c r="H283" s="3">
        <v>6</v>
      </c>
      <c r="I283" s="3">
        <v>5</v>
      </c>
      <c r="J283" s="3">
        <v>3</v>
      </c>
      <c r="K283" s="3">
        <v>12</v>
      </c>
      <c r="L283" s="6" t="s">
        <v>27</v>
      </c>
      <c r="M283" s="6" t="s">
        <v>656</v>
      </c>
      <c r="N283" s="3">
        <v>12.21</v>
      </c>
      <c r="O283" s="3">
        <v>21</v>
      </c>
      <c r="P283" s="3">
        <v>44.5</v>
      </c>
      <c r="Q283" s="9">
        <f t="shared" si="21"/>
        <v>10.961250000000001</v>
      </c>
      <c r="R283" s="10">
        <f t="shared" si="22"/>
        <v>861.19306735569774</v>
      </c>
      <c r="S283" s="10">
        <f t="shared" si="23"/>
        <v>768.23645616030126</v>
      </c>
      <c r="T283" s="7">
        <v>75</v>
      </c>
      <c r="U283" s="7">
        <v>68.3</v>
      </c>
      <c r="V283" s="4"/>
    </row>
    <row r="284" spans="1:22" x14ac:dyDescent="0.25">
      <c r="A284" s="4">
        <v>2023</v>
      </c>
      <c r="B284" s="3" t="s">
        <v>243</v>
      </c>
      <c r="C284" s="3" t="s">
        <v>244</v>
      </c>
      <c r="D284" s="3" t="s">
        <v>245</v>
      </c>
      <c r="E284" s="3" t="s">
        <v>246</v>
      </c>
      <c r="F284" s="3" t="s">
        <v>311</v>
      </c>
      <c r="G284" s="3">
        <v>507</v>
      </c>
      <c r="H284" s="3">
        <v>7</v>
      </c>
      <c r="I284" s="3">
        <v>5</v>
      </c>
      <c r="J284" s="3">
        <v>3</v>
      </c>
      <c r="K284" s="3" t="s">
        <v>268</v>
      </c>
      <c r="L284" s="6" t="s">
        <v>269</v>
      </c>
      <c r="M284" s="6" t="s">
        <v>658</v>
      </c>
      <c r="N284" s="3">
        <v>4.93</v>
      </c>
      <c r="O284" s="3">
        <v>21.5</v>
      </c>
      <c r="P284" s="3">
        <v>43.9</v>
      </c>
      <c r="Q284" s="9">
        <f t="shared" si="21"/>
        <v>4.3977840909090906</v>
      </c>
      <c r="R284" s="10">
        <f t="shared" si="22"/>
        <v>345.52091876547723</v>
      </c>
      <c r="S284" s="10">
        <f t="shared" si="23"/>
        <v>308.22561888088961</v>
      </c>
      <c r="T284" s="7">
        <v>70.400000000000006</v>
      </c>
      <c r="U284" s="7">
        <v>58.4</v>
      </c>
    </row>
    <row r="285" spans="1:22" x14ac:dyDescent="0.25">
      <c r="A285" s="4">
        <v>2023</v>
      </c>
      <c r="B285" s="3" t="s">
        <v>243</v>
      </c>
      <c r="C285" s="3" t="s">
        <v>244</v>
      </c>
      <c r="D285" s="3" t="s">
        <v>245</v>
      </c>
      <c r="E285" s="3" t="s">
        <v>246</v>
      </c>
      <c r="F285" s="3" t="s">
        <v>312</v>
      </c>
      <c r="G285" s="3">
        <v>508</v>
      </c>
      <c r="H285" s="3">
        <v>8</v>
      </c>
      <c r="I285" s="3">
        <v>5</v>
      </c>
      <c r="J285" s="3">
        <v>4</v>
      </c>
      <c r="K285" s="3">
        <v>13</v>
      </c>
      <c r="L285" s="6" t="s">
        <v>87</v>
      </c>
      <c r="M285" s="6" t="s">
        <v>658</v>
      </c>
      <c r="N285" s="3">
        <v>10.02</v>
      </c>
      <c r="O285" s="3">
        <v>13.7</v>
      </c>
      <c r="P285" s="3">
        <v>47</v>
      </c>
      <c r="Q285" s="9">
        <f t="shared" si="21"/>
        <v>9.8264318181818169</v>
      </c>
      <c r="R285" s="10">
        <f t="shared" si="22"/>
        <v>772.03375150294198</v>
      </c>
      <c r="S285" s="10">
        <f t="shared" si="23"/>
        <v>688.7009380044085</v>
      </c>
      <c r="T285" s="7">
        <v>71.599999999999994</v>
      </c>
      <c r="U285" s="7">
        <v>49</v>
      </c>
    </row>
    <row r="286" spans="1:22" x14ac:dyDescent="0.25">
      <c r="A286" s="4">
        <v>2023</v>
      </c>
      <c r="B286" s="3" t="s">
        <v>243</v>
      </c>
      <c r="C286" s="3" t="s">
        <v>244</v>
      </c>
      <c r="D286" s="3" t="s">
        <v>245</v>
      </c>
      <c r="E286" s="3" t="s">
        <v>246</v>
      </c>
      <c r="F286" s="3" t="s">
        <v>313</v>
      </c>
      <c r="G286" s="3">
        <v>509</v>
      </c>
      <c r="H286" s="3">
        <v>9</v>
      </c>
      <c r="I286" s="3">
        <v>5</v>
      </c>
      <c r="J286" s="3">
        <v>4</v>
      </c>
      <c r="K286" s="3">
        <v>10</v>
      </c>
      <c r="L286" s="6" t="s">
        <v>27</v>
      </c>
      <c r="M286" s="6" t="s">
        <v>658</v>
      </c>
      <c r="N286" s="3">
        <v>12.84</v>
      </c>
      <c r="O286" s="3">
        <v>19.8</v>
      </c>
      <c r="P286" s="3">
        <v>45.1</v>
      </c>
      <c r="Q286" s="9">
        <f t="shared" ref="Q286:Q305" si="24">N286*(1-O286/100)/(1-0.12)</f>
        <v>11.701909090909091</v>
      </c>
      <c r="R286" s="10">
        <f t="shared" ref="R286:R305" si="25">((10000*Q286*12%/2.205))/((4.66*16)/10.764)</f>
        <v>919.38446654510403</v>
      </c>
      <c r="S286" s="10">
        <f t="shared" ref="S286:S305" si="26">R286/1.121</f>
        <v>820.14671413479391</v>
      </c>
      <c r="T286" s="7">
        <v>75.3</v>
      </c>
      <c r="U286" s="7">
        <v>67.7</v>
      </c>
    </row>
    <row r="287" spans="1:22" x14ac:dyDescent="0.25">
      <c r="A287" s="4">
        <v>2023</v>
      </c>
      <c r="B287" s="3" t="s">
        <v>243</v>
      </c>
      <c r="C287" s="3" t="s">
        <v>244</v>
      </c>
      <c r="D287" s="3" t="s">
        <v>245</v>
      </c>
      <c r="E287" s="3" t="s">
        <v>246</v>
      </c>
      <c r="F287" s="3" t="s">
        <v>314</v>
      </c>
      <c r="G287" s="3">
        <v>510</v>
      </c>
      <c r="H287" s="3">
        <v>10</v>
      </c>
      <c r="I287" s="3">
        <v>5</v>
      </c>
      <c r="J287" s="3">
        <v>4</v>
      </c>
      <c r="K287" s="3">
        <v>5</v>
      </c>
      <c r="L287" s="6" t="s">
        <v>56</v>
      </c>
      <c r="M287" s="6" t="s">
        <v>657</v>
      </c>
      <c r="N287" s="3">
        <v>13.48</v>
      </c>
      <c r="O287" s="3">
        <v>16.399999999999999</v>
      </c>
      <c r="P287" s="3">
        <v>46.2</v>
      </c>
      <c r="Q287" s="9">
        <f t="shared" si="24"/>
        <v>12.806000000000003</v>
      </c>
      <c r="R287" s="10">
        <f t="shared" si="25"/>
        <v>1006.1296312516423</v>
      </c>
      <c r="S287" s="10">
        <f t="shared" si="26"/>
        <v>897.52866302555071</v>
      </c>
      <c r="T287" s="7">
        <v>73.099999999999994</v>
      </c>
      <c r="U287" s="7">
        <v>64.3</v>
      </c>
    </row>
    <row r="288" spans="1:22" x14ac:dyDescent="0.25">
      <c r="A288" s="4">
        <v>2023</v>
      </c>
      <c r="B288" s="3" t="s">
        <v>243</v>
      </c>
      <c r="C288" s="3" t="s">
        <v>244</v>
      </c>
      <c r="D288" s="3" t="s">
        <v>245</v>
      </c>
      <c r="E288" s="3" t="s">
        <v>246</v>
      </c>
      <c r="F288" s="3" t="s">
        <v>315</v>
      </c>
      <c r="G288" s="3">
        <v>511</v>
      </c>
      <c r="H288" s="3">
        <v>11</v>
      </c>
      <c r="I288" s="3">
        <v>5</v>
      </c>
      <c r="J288" s="3">
        <v>4</v>
      </c>
      <c r="K288" s="3">
        <v>9</v>
      </c>
      <c r="L288" s="6" t="s">
        <v>69</v>
      </c>
      <c r="M288" s="6" t="s">
        <v>656</v>
      </c>
      <c r="N288" s="3">
        <v>14.55</v>
      </c>
      <c r="O288" s="3">
        <v>15.1</v>
      </c>
      <c r="P288" s="3">
        <v>46.9</v>
      </c>
      <c r="Q288" s="9">
        <f t="shared" si="24"/>
        <v>14.037443181818182</v>
      </c>
      <c r="R288" s="10">
        <f t="shared" si="25"/>
        <v>1102.8804882272848</v>
      </c>
      <c r="S288" s="10">
        <f t="shared" si="26"/>
        <v>983.83629636689102</v>
      </c>
      <c r="T288" s="7">
        <v>71.599999999999994</v>
      </c>
      <c r="U288" s="7">
        <v>55.9</v>
      </c>
    </row>
    <row r="289" spans="1:21" x14ac:dyDescent="0.25">
      <c r="A289" s="4">
        <v>2023</v>
      </c>
      <c r="B289" s="3" t="s">
        <v>243</v>
      </c>
      <c r="C289" s="3" t="s">
        <v>244</v>
      </c>
      <c r="D289" s="3" t="s">
        <v>245</v>
      </c>
      <c r="E289" s="3" t="s">
        <v>246</v>
      </c>
      <c r="F289" s="3" t="s">
        <v>316</v>
      </c>
      <c r="G289" s="3">
        <v>512</v>
      </c>
      <c r="H289" s="3">
        <v>12</v>
      </c>
      <c r="I289" s="3">
        <v>5</v>
      </c>
      <c r="J289" s="3">
        <v>4</v>
      </c>
      <c r="K289" s="3">
        <v>8</v>
      </c>
      <c r="L289" s="6" t="s">
        <v>69</v>
      </c>
      <c r="M289" s="6" t="s">
        <v>657</v>
      </c>
      <c r="N289" s="3">
        <v>13.51</v>
      </c>
      <c r="O289" s="3">
        <v>15.5</v>
      </c>
      <c r="P289" s="3">
        <v>46.7</v>
      </c>
      <c r="Q289" s="9">
        <f t="shared" si="24"/>
        <v>12.972670454545453</v>
      </c>
      <c r="R289" s="10">
        <f t="shared" si="25"/>
        <v>1019.2244370436428</v>
      </c>
      <c r="S289" s="10">
        <f t="shared" si="26"/>
        <v>909.21002412456983</v>
      </c>
      <c r="T289" s="7">
        <v>71.5</v>
      </c>
      <c r="U289" s="7">
        <v>57.2</v>
      </c>
    </row>
    <row r="290" spans="1:21" x14ac:dyDescent="0.25">
      <c r="A290" s="4">
        <v>2023</v>
      </c>
      <c r="B290" s="3" t="s">
        <v>243</v>
      </c>
      <c r="C290" s="3" t="s">
        <v>244</v>
      </c>
      <c r="D290" s="3" t="s">
        <v>245</v>
      </c>
      <c r="E290" s="3" t="s">
        <v>246</v>
      </c>
      <c r="F290" s="3" t="s">
        <v>317</v>
      </c>
      <c r="G290" s="3">
        <v>513</v>
      </c>
      <c r="H290" s="3">
        <v>13</v>
      </c>
      <c r="I290" s="3">
        <v>5</v>
      </c>
      <c r="J290" s="3">
        <v>4</v>
      </c>
      <c r="K290" s="3">
        <v>3</v>
      </c>
      <c r="L290" s="6" t="s">
        <v>100</v>
      </c>
      <c r="M290" s="6" t="s">
        <v>656</v>
      </c>
      <c r="N290" s="3">
        <v>16.25</v>
      </c>
      <c r="O290" s="3">
        <v>17.8</v>
      </c>
      <c r="P290" s="3">
        <v>45.8</v>
      </c>
      <c r="Q290" s="9">
        <f t="shared" si="24"/>
        <v>15.178977272727273</v>
      </c>
      <c r="R290" s="10">
        <f t="shared" si="25"/>
        <v>1192.5674532395869</v>
      </c>
      <c r="S290" s="10">
        <f t="shared" si="26"/>
        <v>1063.842509580363</v>
      </c>
      <c r="T290" s="7">
        <v>72.8</v>
      </c>
      <c r="U290" s="7">
        <v>57.9</v>
      </c>
    </row>
    <row r="291" spans="1:21" x14ac:dyDescent="0.25">
      <c r="A291" s="4">
        <v>2023</v>
      </c>
      <c r="B291" s="3" t="s">
        <v>243</v>
      </c>
      <c r="C291" s="3" t="s">
        <v>244</v>
      </c>
      <c r="D291" s="3" t="s">
        <v>245</v>
      </c>
      <c r="E291" s="3" t="s">
        <v>246</v>
      </c>
      <c r="F291" s="3" t="s">
        <v>318</v>
      </c>
      <c r="G291" s="3">
        <v>514</v>
      </c>
      <c r="H291" s="3">
        <v>14</v>
      </c>
      <c r="I291" s="3">
        <v>5</v>
      </c>
      <c r="J291" s="3">
        <v>4</v>
      </c>
      <c r="K291" s="3">
        <v>16</v>
      </c>
      <c r="L291" s="6" t="s">
        <v>42</v>
      </c>
      <c r="M291" s="6" t="s">
        <v>658</v>
      </c>
      <c r="N291" s="3">
        <v>10.69</v>
      </c>
      <c r="O291" s="3">
        <v>16.399999999999999</v>
      </c>
      <c r="P291" s="3">
        <v>46.1</v>
      </c>
      <c r="Q291" s="9">
        <f t="shared" si="24"/>
        <v>10.1555</v>
      </c>
      <c r="R291" s="10">
        <f t="shared" si="25"/>
        <v>797.88766751335731</v>
      </c>
      <c r="S291" s="10">
        <f t="shared" si="26"/>
        <v>711.76419938747313</v>
      </c>
      <c r="T291" s="7">
        <v>72.8</v>
      </c>
      <c r="U291" s="7">
        <v>68.099999999999994</v>
      </c>
    </row>
    <row r="292" spans="1:21" x14ac:dyDescent="0.25">
      <c r="A292" s="4">
        <v>2023</v>
      </c>
      <c r="B292" s="3" t="s">
        <v>243</v>
      </c>
      <c r="C292" s="3" t="s">
        <v>244</v>
      </c>
      <c r="D292" s="3" t="s">
        <v>245</v>
      </c>
      <c r="E292" s="3" t="s">
        <v>246</v>
      </c>
      <c r="F292" s="3" t="s">
        <v>319</v>
      </c>
      <c r="G292" s="3">
        <v>601</v>
      </c>
      <c r="H292" s="3">
        <v>1</v>
      </c>
      <c r="I292" s="3">
        <v>6</v>
      </c>
      <c r="J292" s="3">
        <v>4</v>
      </c>
      <c r="K292" s="3">
        <v>2</v>
      </c>
      <c r="L292" s="6" t="s">
        <v>100</v>
      </c>
      <c r="M292" s="6" t="s">
        <v>657</v>
      </c>
      <c r="N292" s="3">
        <v>13.54</v>
      </c>
      <c r="O292" s="3">
        <v>11.9</v>
      </c>
      <c r="P292" s="3">
        <v>45.1</v>
      </c>
      <c r="Q292" s="9">
        <f t="shared" si="24"/>
        <v>13.555386363636362</v>
      </c>
      <c r="R292" s="10">
        <f t="shared" si="25"/>
        <v>1065.0067065062465</v>
      </c>
      <c r="S292" s="10">
        <f t="shared" si="26"/>
        <v>950.05058564339561</v>
      </c>
      <c r="T292" s="7">
        <v>73.2</v>
      </c>
      <c r="U292" s="7">
        <v>59.5</v>
      </c>
    </row>
    <row r="293" spans="1:21" x14ac:dyDescent="0.25">
      <c r="A293" s="4">
        <v>2023</v>
      </c>
      <c r="B293" s="3" t="s">
        <v>243</v>
      </c>
      <c r="C293" s="3" t="s">
        <v>244</v>
      </c>
      <c r="D293" s="3" t="s">
        <v>245</v>
      </c>
      <c r="E293" s="3" t="s">
        <v>246</v>
      </c>
      <c r="F293" s="3" t="s">
        <v>320</v>
      </c>
      <c r="G293" s="3">
        <v>602</v>
      </c>
      <c r="H293" s="3">
        <v>2</v>
      </c>
      <c r="I293" s="3">
        <v>6</v>
      </c>
      <c r="J293" s="3">
        <v>4</v>
      </c>
      <c r="K293" s="3">
        <v>15</v>
      </c>
      <c r="L293" s="6" t="s">
        <v>87</v>
      </c>
      <c r="M293" s="6" t="s">
        <v>656</v>
      </c>
      <c r="N293" s="3">
        <v>13.36</v>
      </c>
      <c r="O293" s="3">
        <v>9.82</v>
      </c>
      <c r="P293" s="3">
        <v>45.3</v>
      </c>
      <c r="Q293" s="9">
        <f t="shared" si="24"/>
        <v>13.690963636363634</v>
      </c>
      <c r="R293" s="10">
        <f t="shared" si="25"/>
        <v>1075.6586127545045</v>
      </c>
      <c r="S293" s="10">
        <f t="shared" si="26"/>
        <v>959.55273216280511</v>
      </c>
      <c r="T293" s="7">
        <v>71.3</v>
      </c>
      <c r="U293" s="7">
        <v>53.4</v>
      </c>
    </row>
    <row r="294" spans="1:21" x14ac:dyDescent="0.25">
      <c r="A294" s="4">
        <v>2023</v>
      </c>
      <c r="B294" s="3" t="s">
        <v>243</v>
      </c>
      <c r="C294" s="3" t="s">
        <v>244</v>
      </c>
      <c r="D294" s="3" t="s">
        <v>245</v>
      </c>
      <c r="E294" s="3" t="s">
        <v>246</v>
      </c>
      <c r="F294" s="3" t="s">
        <v>321</v>
      </c>
      <c r="G294" s="3">
        <v>603</v>
      </c>
      <c r="H294" s="3">
        <v>3</v>
      </c>
      <c r="I294" s="3">
        <v>6</v>
      </c>
      <c r="J294" s="3">
        <v>4</v>
      </c>
      <c r="K294" s="3">
        <v>1</v>
      </c>
      <c r="L294" s="6" t="s">
        <v>100</v>
      </c>
      <c r="M294" s="6" t="s">
        <v>658</v>
      </c>
      <c r="N294" s="3">
        <v>14.9</v>
      </c>
      <c r="O294" s="3">
        <v>19.600000000000001</v>
      </c>
      <c r="P294" s="3">
        <v>45.2</v>
      </c>
      <c r="Q294" s="9">
        <f t="shared" si="24"/>
        <v>13.61318181818182</v>
      </c>
      <c r="R294" s="10">
        <f t="shared" si="25"/>
        <v>1069.5475248234293</v>
      </c>
      <c r="S294" s="10">
        <f t="shared" si="26"/>
        <v>954.10127102892886</v>
      </c>
      <c r="T294" s="7">
        <v>72.099999999999994</v>
      </c>
      <c r="U294" s="7">
        <v>55.7</v>
      </c>
    </row>
    <row r="295" spans="1:21" x14ac:dyDescent="0.25">
      <c r="A295" s="4">
        <v>2023</v>
      </c>
      <c r="B295" s="3" t="s">
        <v>243</v>
      </c>
      <c r="C295" s="3" t="s">
        <v>244</v>
      </c>
      <c r="D295" s="3" t="s">
        <v>245</v>
      </c>
      <c r="E295" s="3" t="s">
        <v>246</v>
      </c>
      <c r="F295" s="3" t="s">
        <v>322</v>
      </c>
      <c r="G295" s="3">
        <v>604</v>
      </c>
      <c r="H295" s="3">
        <v>4</v>
      </c>
      <c r="I295" s="3">
        <v>6</v>
      </c>
      <c r="J295" s="3">
        <v>4</v>
      </c>
      <c r="K295" s="3">
        <v>12</v>
      </c>
      <c r="L295" s="6" t="s">
        <v>27</v>
      </c>
      <c r="M295" s="6" t="s">
        <v>656</v>
      </c>
      <c r="N295" s="3">
        <v>13.48</v>
      </c>
      <c r="O295" s="3">
        <v>23</v>
      </c>
      <c r="P295" s="3">
        <v>44</v>
      </c>
      <c r="Q295" s="9">
        <f t="shared" si="24"/>
        <v>11.795</v>
      </c>
      <c r="R295" s="10">
        <f t="shared" si="25"/>
        <v>926.69834457388106</v>
      </c>
      <c r="S295" s="10">
        <f t="shared" si="26"/>
        <v>826.67113699721767</v>
      </c>
      <c r="T295" s="7">
        <v>74.8</v>
      </c>
      <c r="U295" s="7">
        <v>67.599999999999994</v>
      </c>
    </row>
    <row r="296" spans="1:21" x14ac:dyDescent="0.25">
      <c r="A296" s="4">
        <v>2023</v>
      </c>
      <c r="B296" s="3" t="s">
        <v>243</v>
      </c>
      <c r="C296" s="3" t="s">
        <v>244</v>
      </c>
      <c r="D296" s="3" t="s">
        <v>245</v>
      </c>
      <c r="E296" s="3" t="s">
        <v>246</v>
      </c>
      <c r="F296" s="3" t="s">
        <v>323</v>
      </c>
      <c r="G296" s="3">
        <v>605</v>
      </c>
      <c r="H296" s="3">
        <v>5</v>
      </c>
      <c r="I296" s="3">
        <v>6</v>
      </c>
      <c r="J296" s="3">
        <v>4</v>
      </c>
      <c r="K296" s="3">
        <v>14</v>
      </c>
      <c r="L296" s="6" t="s">
        <v>87</v>
      </c>
      <c r="M296" s="6" t="s">
        <v>657</v>
      </c>
      <c r="N296" s="3">
        <v>10.84</v>
      </c>
      <c r="O296" s="3">
        <v>15.6</v>
      </c>
      <c r="P296" s="3">
        <v>46.1</v>
      </c>
      <c r="Q296" s="9">
        <f t="shared" si="24"/>
        <v>10.396545454545453</v>
      </c>
      <c r="R296" s="10">
        <f t="shared" si="25"/>
        <v>816.825897584941</v>
      </c>
      <c r="S296" s="10">
        <f t="shared" si="26"/>
        <v>728.65824940672701</v>
      </c>
      <c r="T296" s="7">
        <v>71</v>
      </c>
      <c r="U296" s="7">
        <v>51.5</v>
      </c>
    </row>
    <row r="297" spans="1:21" x14ac:dyDescent="0.25">
      <c r="A297" s="4">
        <v>2023</v>
      </c>
      <c r="B297" s="3" t="s">
        <v>243</v>
      </c>
      <c r="C297" s="3" t="s">
        <v>244</v>
      </c>
      <c r="D297" s="3" t="s">
        <v>245</v>
      </c>
      <c r="E297" s="3" t="s">
        <v>246</v>
      </c>
      <c r="F297" s="3" t="s">
        <v>324</v>
      </c>
      <c r="G297" s="3">
        <v>606</v>
      </c>
      <c r="H297" s="3">
        <v>6</v>
      </c>
      <c r="I297" s="3">
        <v>6</v>
      </c>
      <c r="J297" s="3">
        <v>4</v>
      </c>
      <c r="K297" s="3">
        <v>17</v>
      </c>
      <c r="L297" s="6" t="s">
        <v>42</v>
      </c>
      <c r="M297" s="6" t="s">
        <v>657</v>
      </c>
      <c r="N297" s="3">
        <v>11.94</v>
      </c>
      <c r="O297" s="3">
        <v>18.3</v>
      </c>
      <c r="P297" s="3">
        <v>45.3</v>
      </c>
      <c r="Q297" s="9">
        <f t="shared" si="24"/>
        <v>11.085204545454545</v>
      </c>
      <c r="R297" s="10">
        <f t="shared" si="25"/>
        <v>870.93181021921043</v>
      </c>
      <c r="S297" s="10">
        <f t="shared" si="26"/>
        <v>776.924005547913</v>
      </c>
      <c r="T297" s="7">
        <v>72.900000000000006</v>
      </c>
      <c r="U297" s="7">
        <v>67.400000000000006</v>
      </c>
    </row>
    <row r="298" spans="1:21" x14ac:dyDescent="0.25">
      <c r="A298" s="4">
        <v>2023</v>
      </c>
      <c r="B298" s="3" t="s">
        <v>243</v>
      </c>
      <c r="C298" s="3" t="s">
        <v>244</v>
      </c>
      <c r="D298" s="3" t="s">
        <v>245</v>
      </c>
      <c r="E298" s="3" t="s">
        <v>246</v>
      </c>
      <c r="F298" s="3" t="s">
        <v>325</v>
      </c>
      <c r="G298" s="3">
        <v>607</v>
      </c>
      <c r="H298" s="3">
        <v>7</v>
      </c>
      <c r="I298" s="3">
        <v>6</v>
      </c>
      <c r="J298" s="3">
        <v>4</v>
      </c>
      <c r="K298" s="3">
        <v>19</v>
      </c>
      <c r="L298" s="6" t="s">
        <v>113</v>
      </c>
      <c r="M298" s="6" t="s">
        <v>658</v>
      </c>
      <c r="N298" s="3">
        <v>11.86</v>
      </c>
      <c r="O298" s="3">
        <v>27.5</v>
      </c>
      <c r="P298" s="3">
        <v>43</v>
      </c>
      <c r="Q298" s="9">
        <f t="shared" si="24"/>
        <v>9.7710227272727259</v>
      </c>
      <c r="R298" s="10">
        <f t="shared" si="25"/>
        <v>767.68042273483707</v>
      </c>
      <c r="S298" s="10">
        <f t="shared" si="26"/>
        <v>684.81750466979224</v>
      </c>
      <c r="T298" s="7">
        <v>68.7</v>
      </c>
      <c r="U298" s="7">
        <v>60.7</v>
      </c>
    </row>
    <row r="299" spans="1:21" x14ac:dyDescent="0.25">
      <c r="A299" s="4">
        <v>2023</v>
      </c>
      <c r="B299" s="3" t="s">
        <v>243</v>
      </c>
      <c r="C299" s="3" t="s">
        <v>244</v>
      </c>
      <c r="D299" s="3" t="s">
        <v>245</v>
      </c>
      <c r="E299" s="3" t="s">
        <v>246</v>
      </c>
      <c r="F299" s="3" t="s">
        <v>326</v>
      </c>
      <c r="G299" s="3">
        <v>608</v>
      </c>
      <c r="H299" s="3">
        <v>8</v>
      </c>
      <c r="I299" s="3">
        <v>6</v>
      </c>
      <c r="J299" s="3">
        <v>4</v>
      </c>
      <c r="K299" s="3">
        <v>18</v>
      </c>
      <c r="L299" s="6" t="s">
        <v>42</v>
      </c>
      <c r="M299" s="6" t="s">
        <v>656</v>
      </c>
      <c r="N299" s="3">
        <v>10.51</v>
      </c>
      <c r="O299" s="3">
        <v>16.7</v>
      </c>
      <c r="P299" s="3">
        <v>46</v>
      </c>
      <c r="Q299" s="9">
        <f t="shared" si="24"/>
        <v>9.9486704545454554</v>
      </c>
      <c r="R299" s="10">
        <f t="shared" si="25"/>
        <v>781.63768045259474</v>
      </c>
      <c r="S299" s="10">
        <f t="shared" si="26"/>
        <v>697.26822520302835</v>
      </c>
      <c r="T299" s="7">
        <v>73.2</v>
      </c>
      <c r="U299" s="7">
        <v>67.099999999999994</v>
      </c>
    </row>
    <row r="300" spans="1:21" x14ac:dyDescent="0.25">
      <c r="A300" s="4">
        <v>2023</v>
      </c>
      <c r="B300" s="3" t="s">
        <v>243</v>
      </c>
      <c r="C300" s="3" t="s">
        <v>244</v>
      </c>
      <c r="D300" s="3" t="s">
        <v>245</v>
      </c>
      <c r="E300" s="3" t="s">
        <v>246</v>
      </c>
      <c r="F300" s="3" t="s">
        <v>327</v>
      </c>
      <c r="G300" s="3">
        <v>609</v>
      </c>
      <c r="H300" s="3">
        <v>9</v>
      </c>
      <c r="I300" s="3">
        <v>6</v>
      </c>
      <c r="J300" s="3">
        <v>4</v>
      </c>
      <c r="K300" s="3">
        <v>6</v>
      </c>
      <c r="L300" s="6" t="s">
        <v>56</v>
      </c>
      <c r="M300" s="6" t="s">
        <v>656</v>
      </c>
      <c r="N300" s="3">
        <v>14.44</v>
      </c>
      <c r="O300" s="3">
        <v>16.600000000000001</v>
      </c>
      <c r="P300" s="3">
        <v>46.2</v>
      </c>
      <c r="Q300" s="9">
        <f t="shared" si="24"/>
        <v>13.685181818181817</v>
      </c>
      <c r="R300" s="10">
        <f t="shared" si="25"/>
        <v>1075.2043523613111</v>
      </c>
      <c r="S300" s="10">
        <f t="shared" si="26"/>
        <v>959.14750433658435</v>
      </c>
      <c r="T300" s="7">
        <v>73.3</v>
      </c>
      <c r="U300" s="7">
        <v>64</v>
      </c>
    </row>
    <row r="301" spans="1:21" x14ac:dyDescent="0.25">
      <c r="A301" s="4">
        <v>2023</v>
      </c>
      <c r="B301" s="3" t="s">
        <v>243</v>
      </c>
      <c r="C301" s="3" t="s">
        <v>244</v>
      </c>
      <c r="D301" s="3" t="s">
        <v>245</v>
      </c>
      <c r="E301" s="3" t="s">
        <v>246</v>
      </c>
      <c r="F301" s="3" t="s">
        <v>328</v>
      </c>
      <c r="G301" s="3">
        <v>610</v>
      </c>
      <c r="H301" s="3">
        <v>10</v>
      </c>
      <c r="I301" s="3">
        <v>6</v>
      </c>
      <c r="J301" s="3">
        <v>4</v>
      </c>
      <c r="K301" s="3">
        <v>4</v>
      </c>
      <c r="L301" s="6" t="s">
        <v>56</v>
      </c>
      <c r="M301" s="6" t="s">
        <v>658</v>
      </c>
      <c r="N301" s="3">
        <v>13.7</v>
      </c>
      <c r="O301" s="3">
        <v>16.3</v>
      </c>
      <c r="P301" s="3">
        <v>46.3</v>
      </c>
      <c r="Q301" s="9">
        <f t="shared" si="24"/>
        <v>13.030568181818181</v>
      </c>
      <c r="R301" s="10">
        <f t="shared" si="25"/>
        <v>1023.7732906272145</v>
      </c>
      <c r="S301" s="10">
        <f t="shared" si="26"/>
        <v>913.2678774551423</v>
      </c>
      <c r="T301" s="7">
        <v>72.7</v>
      </c>
      <c r="U301" s="7">
        <v>63</v>
      </c>
    </row>
    <row r="302" spans="1:21" x14ac:dyDescent="0.25">
      <c r="A302" s="4">
        <v>2023</v>
      </c>
      <c r="B302" s="3" t="s">
        <v>243</v>
      </c>
      <c r="C302" s="3" t="s">
        <v>244</v>
      </c>
      <c r="D302" s="3" t="s">
        <v>245</v>
      </c>
      <c r="E302" s="3" t="s">
        <v>246</v>
      </c>
      <c r="F302" s="3" t="s">
        <v>329</v>
      </c>
      <c r="G302" s="3">
        <v>611</v>
      </c>
      <c r="H302" s="3">
        <v>11</v>
      </c>
      <c r="I302" s="3">
        <v>6</v>
      </c>
      <c r="J302" s="3">
        <v>4</v>
      </c>
      <c r="K302" s="3">
        <v>20</v>
      </c>
      <c r="L302" s="6" t="s">
        <v>82</v>
      </c>
      <c r="M302" s="6" t="s">
        <v>658</v>
      </c>
      <c r="N302" s="3">
        <v>14.1</v>
      </c>
      <c r="O302" s="3">
        <v>19.2</v>
      </c>
      <c r="P302" s="3">
        <v>45.4</v>
      </c>
      <c r="Q302" s="9">
        <f t="shared" si="24"/>
        <v>12.946363636363637</v>
      </c>
      <c r="R302" s="10">
        <f t="shared" si="25"/>
        <v>1017.1575879669074</v>
      </c>
      <c r="S302" s="10">
        <f t="shared" si="26"/>
        <v>907.3662693727988</v>
      </c>
      <c r="T302" s="7">
        <v>72.900000000000006</v>
      </c>
      <c r="U302" s="7">
        <v>63.5</v>
      </c>
    </row>
    <row r="303" spans="1:21" x14ac:dyDescent="0.25">
      <c r="A303" s="4">
        <v>2023</v>
      </c>
      <c r="B303" s="3" t="s">
        <v>243</v>
      </c>
      <c r="C303" s="3" t="s">
        <v>244</v>
      </c>
      <c r="D303" s="3" t="s">
        <v>245</v>
      </c>
      <c r="E303" s="3" t="s">
        <v>246</v>
      </c>
      <c r="F303" s="3" t="s">
        <v>330</v>
      </c>
      <c r="G303" s="3">
        <v>612</v>
      </c>
      <c r="H303" s="3">
        <v>12</v>
      </c>
      <c r="I303" s="3">
        <v>6</v>
      </c>
      <c r="J303" s="3">
        <v>4</v>
      </c>
      <c r="K303" s="3">
        <v>11</v>
      </c>
      <c r="L303" s="6" t="s">
        <v>27</v>
      </c>
      <c r="M303" s="6" t="s">
        <v>657</v>
      </c>
      <c r="N303" s="3">
        <v>12.33</v>
      </c>
      <c r="O303" s="3">
        <v>19.7</v>
      </c>
      <c r="P303" s="3">
        <v>45.1</v>
      </c>
      <c r="Q303" s="9">
        <f t="shared" si="24"/>
        <v>11.251125</v>
      </c>
      <c r="R303" s="10">
        <f t="shared" si="25"/>
        <v>883.96769072435836</v>
      </c>
      <c r="S303" s="10">
        <f t="shared" si="26"/>
        <v>788.55280171664435</v>
      </c>
      <c r="T303" s="7">
        <v>74.599999999999994</v>
      </c>
      <c r="U303" s="7">
        <v>67.5</v>
      </c>
    </row>
    <row r="304" spans="1:21" x14ac:dyDescent="0.25">
      <c r="A304" s="4">
        <v>2023</v>
      </c>
      <c r="B304" s="3" t="s">
        <v>243</v>
      </c>
      <c r="C304" s="3" t="s">
        <v>244</v>
      </c>
      <c r="D304" s="3" t="s">
        <v>245</v>
      </c>
      <c r="E304" s="3" t="s">
        <v>246</v>
      </c>
      <c r="F304" s="3" t="s">
        <v>331</v>
      </c>
      <c r="G304" s="3">
        <v>613</v>
      </c>
      <c r="H304" s="3">
        <v>13</v>
      </c>
      <c r="I304" s="3">
        <v>6</v>
      </c>
      <c r="J304" s="3">
        <v>4</v>
      </c>
      <c r="K304" s="3">
        <v>7</v>
      </c>
      <c r="L304" s="6" t="s">
        <v>69</v>
      </c>
      <c r="M304" s="6" t="s">
        <v>658</v>
      </c>
      <c r="N304" s="3">
        <v>13.58</v>
      </c>
      <c r="O304" s="3">
        <v>14.6</v>
      </c>
      <c r="P304" s="3">
        <v>47.1</v>
      </c>
      <c r="Q304" s="9">
        <f t="shared" si="24"/>
        <v>13.178772727272728</v>
      </c>
      <c r="R304" s="10">
        <f t="shared" si="25"/>
        <v>1035.4172844323057</v>
      </c>
      <c r="S304" s="10">
        <f t="shared" si="26"/>
        <v>923.65502625540205</v>
      </c>
      <c r="T304" s="7">
        <v>71</v>
      </c>
      <c r="U304" s="7">
        <v>54.1</v>
      </c>
    </row>
    <row r="305" spans="1:21" x14ac:dyDescent="0.25">
      <c r="A305" s="4">
        <v>2023</v>
      </c>
      <c r="B305" s="3" t="s">
        <v>243</v>
      </c>
      <c r="C305" s="3" t="s">
        <v>244</v>
      </c>
      <c r="D305" s="3" t="s">
        <v>245</v>
      </c>
      <c r="E305" s="3" t="s">
        <v>246</v>
      </c>
      <c r="F305" s="3" t="s">
        <v>332</v>
      </c>
      <c r="G305" s="3">
        <v>614</v>
      </c>
      <c r="H305" s="3">
        <v>14</v>
      </c>
      <c r="I305" s="3">
        <v>6</v>
      </c>
      <c r="J305" s="3">
        <v>4</v>
      </c>
      <c r="K305" s="3" t="s">
        <v>268</v>
      </c>
      <c r="L305" s="6" t="s">
        <v>269</v>
      </c>
      <c r="M305" s="6" t="s">
        <v>658</v>
      </c>
      <c r="N305" s="3">
        <v>6.56</v>
      </c>
      <c r="O305" s="3">
        <v>23.3</v>
      </c>
      <c r="P305" s="3">
        <v>43.9</v>
      </c>
      <c r="Q305" s="9">
        <f t="shared" si="24"/>
        <v>5.7176363636363634</v>
      </c>
      <c r="R305" s="10">
        <f t="shared" si="25"/>
        <v>449.21781713075393</v>
      </c>
      <c r="S305" s="10">
        <f t="shared" si="26"/>
        <v>400.7295424895218</v>
      </c>
      <c r="T305" s="7">
        <v>70.7</v>
      </c>
      <c r="U305" s="7">
        <v>58.6</v>
      </c>
    </row>
    <row r="345" spans="2:21" x14ac:dyDescent="0.25">
      <c r="B345" s="3"/>
      <c r="D345" s="3"/>
      <c r="E345" s="3"/>
      <c r="F345" s="3"/>
      <c r="G345" s="3"/>
      <c r="H345" s="3"/>
      <c r="I345" s="3"/>
      <c r="J345" s="3"/>
      <c r="K345" s="3"/>
      <c r="L345" s="2"/>
      <c r="M345" s="2"/>
      <c r="N345" s="3"/>
      <c r="O345" s="3"/>
      <c r="P345" s="3"/>
      <c r="Q345" s="9"/>
      <c r="R345" s="10"/>
      <c r="S345" s="11"/>
      <c r="T345" s="7"/>
      <c r="U345" s="7"/>
    </row>
    <row r="346" spans="2:21" x14ac:dyDescent="0.25">
      <c r="B346" s="3"/>
      <c r="D346" s="3"/>
      <c r="E346" s="3"/>
      <c r="F346" s="3"/>
      <c r="G346" s="3"/>
      <c r="H346" s="3"/>
      <c r="I346" s="3"/>
      <c r="J346" s="3"/>
      <c r="K346" s="3"/>
      <c r="L346" s="2"/>
      <c r="M346" s="2"/>
      <c r="N346" s="3"/>
      <c r="O346" s="3"/>
      <c r="P346" s="3"/>
      <c r="Q346" s="9"/>
      <c r="R346" s="10"/>
      <c r="S346" s="11"/>
      <c r="T346" s="7"/>
      <c r="U346" s="7"/>
    </row>
    <row r="347" spans="2:21" x14ac:dyDescent="0.25">
      <c r="B347" s="3"/>
      <c r="D347" s="3"/>
      <c r="E347" s="3"/>
      <c r="F347" s="3"/>
      <c r="G347" s="3"/>
      <c r="H347" s="3"/>
      <c r="I347" s="3"/>
      <c r="J347" s="3"/>
      <c r="K347" s="3"/>
      <c r="L347" s="2"/>
      <c r="M347" s="2"/>
      <c r="N347" s="3"/>
      <c r="O347" s="3"/>
      <c r="P347" s="3"/>
      <c r="Q347" s="9"/>
      <c r="R347" s="10"/>
      <c r="S347" s="11"/>
      <c r="T347" s="7"/>
      <c r="U347" s="7"/>
    </row>
    <row r="348" spans="2:21" x14ac:dyDescent="0.25">
      <c r="B348" s="3"/>
      <c r="D348" s="3"/>
      <c r="E348" s="3"/>
      <c r="F348" s="3"/>
      <c r="G348" s="3"/>
      <c r="H348" s="3"/>
      <c r="I348" s="3"/>
      <c r="J348" s="3"/>
      <c r="K348" s="3"/>
      <c r="L348" s="2"/>
      <c r="M348" s="2"/>
      <c r="N348" s="3"/>
      <c r="O348" s="3"/>
      <c r="P348" s="3"/>
      <c r="Q348" s="9"/>
      <c r="R348" s="10"/>
      <c r="S348" s="11"/>
      <c r="T348" s="7"/>
      <c r="U348" s="7"/>
    </row>
    <row r="349" spans="2:21" x14ac:dyDescent="0.25">
      <c r="B349" s="3"/>
      <c r="D349" s="3"/>
      <c r="E349" s="3"/>
      <c r="F349" s="3"/>
      <c r="G349" s="3"/>
      <c r="H349" s="3"/>
      <c r="I349" s="3"/>
      <c r="J349" s="3"/>
      <c r="K349" s="3"/>
      <c r="L349" s="2"/>
      <c r="M349" s="2"/>
      <c r="N349" s="3"/>
      <c r="O349" s="3"/>
      <c r="P349" s="3"/>
      <c r="Q349" s="9"/>
      <c r="R349" s="10"/>
      <c r="S349" s="11"/>
      <c r="T349" s="7"/>
      <c r="U349" s="7"/>
    </row>
    <row r="350" spans="2:21" x14ac:dyDescent="0.25">
      <c r="B350" s="3"/>
      <c r="D350" s="3"/>
      <c r="E350" s="3"/>
      <c r="F350" s="3"/>
      <c r="G350" s="3"/>
      <c r="H350" s="3"/>
      <c r="I350" s="3"/>
      <c r="J350" s="3"/>
      <c r="K350" s="3"/>
      <c r="L350" s="2"/>
      <c r="M350" s="2"/>
      <c r="N350" s="3"/>
      <c r="O350" s="3"/>
      <c r="P350" s="3"/>
      <c r="Q350" s="9"/>
      <c r="R350" s="10"/>
      <c r="S350" s="11"/>
      <c r="T350" s="7"/>
      <c r="U350" s="7"/>
    </row>
    <row r="351" spans="2:21" x14ac:dyDescent="0.25">
      <c r="B351" s="3"/>
      <c r="D351" s="3"/>
      <c r="E351" s="3"/>
      <c r="F351" s="3"/>
      <c r="G351" s="3"/>
      <c r="H351" s="3"/>
      <c r="I351" s="3"/>
      <c r="J351" s="3"/>
      <c r="K351" s="3"/>
      <c r="L351" s="2"/>
      <c r="M351" s="2"/>
      <c r="N351" s="3"/>
      <c r="O351" s="3"/>
      <c r="P351" s="3"/>
      <c r="Q351" s="9"/>
      <c r="R351" s="10"/>
      <c r="S351" s="11"/>
      <c r="T351" s="7"/>
      <c r="U351" s="7"/>
    </row>
    <row r="352" spans="2:21" x14ac:dyDescent="0.25">
      <c r="B352" s="3"/>
      <c r="D352" s="3"/>
      <c r="E352" s="3"/>
      <c r="F352" s="3"/>
      <c r="G352" s="3"/>
      <c r="H352" s="3"/>
      <c r="I352" s="3"/>
      <c r="J352" s="3"/>
      <c r="K352" s="3"/>
      <c r="L352" s="2"/>
      <c r="M352" s="2"/>
      <c r="N352" s="3"/>
      <c r="O352" s="3"/>
      <c r="P352" s="3"/>
      <c r="Q352" s="9"/>
      <c r="R352" s="10"/>
      <c r="S352" s="11"/>
      <c r="T352" s="7"/>
      <c r="U352" s="7"/>
    </row>
    <row r="353" spans="2:21" x14ac:dyDescent="0.25">
      <c r="B353" s="3"/>
      <c r="D353" s="3"/>
      <c r="E353" s="3"/>
      <c r="F353" s="3"/>
      <c r="G353" s="3"/>
      <c r="H353" s="3"/>
      <c r="I353" s="3"/>
      <c r="J353" s="3"/>
      <c r="K353" s="3"/>
      <c r="L353" s="2"/>
      <c r="M353" s="2"/>
      <c r="N353" s="3"/>
      <c r="O353" s="3"/>
      <c r="P353" s="3"/>
      <c r="Q353" s="9"/>
      <c r="R353" s="10"/>
      <c r="S353" s="11"/>
      <c r="T353" s="7"/>
      <c r="U353" s="7"/>
    </row>
    <row r="354" spans="2:21" x14ac:dyDescent="0.25">
      <c r="B354" s="3"/>
      <c r="D354" s="3"/>
      <c r="E354" s="3"/>
      <c r="F354" s="3"/>
      <c r="G354" s="3"/>
      <c r="H354" s="3"/>
      <c r="I354" s="3"/>
      <c r="J354" s="3"/>
      <c r="K354" s="3"/>
      <c r="L354" s="2"/>
      <c r="M354" s="2"/>
      <c r="N354" s="3"/>
      <c r="O354" s="3"/>
      <c r="P354" s="3"/>
      <c r="Q354" s="9"/>
      <c r="R354" s="10"/>
      <c r="S354" s="11"/>
      <c r="T354" s="7"/>
      <c r="U354" s="7"/>
    </row>
    <row r="355" spans="2:21" x14ac:dyDescent="0.25">
      <c r="B355" s="3"/>
      <c r="D355" s="3"/>
      <c r="E355" s="3"/>
      <c r="F355" s="3"/>
      <c r="G355" s="3"/>
      <c r="H355" s="3"/>
      <c r="I355" s="3"/>
      <c r="J355" s="3"/>
      <c r="K355" s="3"/>
      <c r="L355" s="2"/>
      <c r="M355" s="2"/>
      <c r="N355" s="3"/>
      <c r="O355" s="3"/>
      <c r="P355" s="3"/>
      <c r="Q355" s="9"/>
      <c r="R355" s="10"/>
      <c r="S355" s="11"/>
      <c r="T355" s="7"/>
      <c r="U355" s="7"/>
    </row>
    <row r="356" spans="2:21" x14ac:dyDescent="0.25">
      <c r="B356" s="3"/>
      <c r="D356" s="3"/>
      <c r="E356" s="3"/>
      <c r="F356" s="3"/>
      <c r="G356" s="3"/>
      <c r="H356" s="3"/>
      <c r="I356" s="3"/>
      <c r="J356" s="3"/>
      <c r="K356" s="3"/>
      <c r="L356" s="2"/>
      <c r="M356" s="2"/>
      <c r="N356" s="3"/>
      <c r="O356" s="3"/>
      <c r="P356" s="3"/>
      <c r="Q356" s="9"/>
      <c r="R356" s="10"/>
      <c r="S356" s="11"/>
      <c r="T356" s="7"/>
      <c r="U356" s="7"/>
    </row>
    <row r="357" spans="2:21" x14ac:dyDescent="0.25">
      <c r="B357" s="3"/>
      <c r="D357" s="3"/>
      <c r="E357" s="3"/>
      <c r="F357" s="3"/>
      <c r="G357" s="3"/>
      <c r="H357" s="3"/>
      <c r="I357" s="3"/>
      <c r="J357" s="3"/>
      <c r="K357" s="3"/>
      <c r="L357" s="2"/>
      <c r="M357" s="2"/>
      <c r="N357" s="3"/>
      <c r="O357" s="3"/>
      <c r="P357" s="3"/>
      <c r="Q357" s="9"/>
      <c r="R357" s="10"/>
      <c r="S357" s="11"/>
      <c r="T357" s="7"/>
      <c r="U357" s="7"/>
    </row>
    <row r="358" spans="2:21" x14ac:dyDescent="0.25">
      <c r="B358" s="3"/>
      <c r="D358" s="3"/>
      <c r="E358" s="3"/>
      <c r="F358" s="3"/>
      <c r="G358" s="3"/>
      <c r="H358" s="3"/>
      <c r="I358" s="3"/>
      <c r="J358" s="3"/>
      <c r="K358" s="3"/>
      <c r="L358" s="2"/>
      <c r="M358" s="2"/>
      <c r="N358" s="3"/>
      <c r="O358" s="3"/>
      <c r="P358" s="3"/>
      <c r="Q358" s="9"/>
      <c r="R358" s="10"/>
      <c r="S358" s="11"/>
      <c r="T358" s="7"/>
      <c r="U358" s="7"/>
    </row>
    <row r="359" spans="2:21" x14ac:dyDescent="0.25">
      <c r="B359" s="3"/>
      <c r="D359" s="3"/>
      <c r="E359" s="3"/>
      <c r="F359" s="3"/>
      <c r="G359" s="3"/>
      <c r="H359" s="3"/>
      <c r="I359" s="3"/>
      <c r="J359" s="3"/>
      <c r="K359" s="3"/>
      <c r="L359" s="2"/>
      <c r="M359" s="2"/>
      <c r="N359" s="3"/>
      <c r="O359" s="3"/>
      <c r="P359" s="3"/>
      <c r="Q359" s="9"/>
      <c r="R359" s="10"/>
      <c r="S359" s="11"/>
      <c r="T359" s="7"/>
      <c r="U359" s="7"/>
    </row>
    <row r="360" spans="2:21" x14ac:dyDescent="0.25">
      <c r="B360" s="3"/>
      <c r="D360" s="3"/>
      <c r="E360" s="3"/>
      <c r="F360" s="3"/>
      <c r="G360" s="3"/>
      <c r="H360" s="3"/>
      <c r="I360" s="3"/>
      <c r="J360" s="3"/>
      <c r="K360" s="3"/>
      <c r="L360" s="2"/>
      <c r="M360" s="2"/>
      <c r="N360" s="3"/>
      <c r="O360" s="3"/>
      <c r="P360" s="3"/>
      <c r="Q360" s="9"/>
      <c r="R360" s="10"/>
      <c r="S360" s="11"/>
      <c r="T360" s="7"/>
      <c r="U360" s="7"/>
    </row>
    <row r="361" spans="2:21" x14ac:dyDescent="0.25">
      <c r="B361" s="3"/>
      <c r="D361" s="3"/>
      <c r="E361" s="3"/>
      <c r="F361" s="3"/>
      <c r="G361" s="3"/>
      <c r="H361" s="3"/>
      <c r="I361" s="3"/>
      <c r="J361" s="3"/>
      <c r="K361" s="3"/>
      <c r="L361" s="2"/>
      <c r="M361" s="2"/>
      <c r="N361" s="3"/>
      <c r="O361" s="3"/>
      <c r="P361" s="3"/>
      <c r="Q361" s="9"/>
      <c r="R361" s="10"/>
      <c r="S361" s="11"/>
      <c r="T361" s="7"/>
      <c r="U361" s="7"/>
    </row>
    <row r="362" spans="2:21" x14ac:dyDescent="0.25">
      <c r="B362" s="3"/>
      <c r="D362" s="3"/>
      <c r="E362" s="3"/>
      <c r="F362" s="3"/>
      <c r="G362" s="3"/>
      <c r="H362" s="3"/>
      <c r="I362" s="3"/>
      <c r="J362" s="3"/>
      <c r="K362" s="3"/>
      <c r="L362" s="2"/>
      <c r="M362" s="2"/>
      <c r="N362" s="3"/>
      <c r="O362" s="3"/>
      <c r="P362" s="3"/>
      <c r="Q362" s="9"/>
      <c r="R362" s="10"/>
      <c r="S362" s="11"/>
      <c r="T362" s="7"/>
      <c r="U362" s="7"/>
    </row>
    <row r="363" spans="2:21" x14ac:dyDescent="0.25">
      <c r="B363" s="3"/>
      <c r="D363" s="3"/>
      <c r="E363" s="3"/>
      <c r="F363" s="3"/>
      <c r="G363" s="3"/>
      <c r="H363" s="3"/>
      <c r="I363" s="3"/>
      <c r="J363" s="3"/>
      <c r="K363" s="3"/>
      <c r="L363" s="2"/>
      <c r="M363" s="2"/>
      <c r="N363" s="3"/>
      <c r="O363" s="3"/>
      <c r="P363" s="3"/>
      <c r="Q363" s="9"/>
      <c r="R363" s="10"/>
      <c r="S363" s="11"/>
      <c r="T363" s="7"/>
      <c r="U363" s="7"/>
    </row>
    <row r="364" spans="2:21" x14ac:dyDescent="0.25">
      <c r="B364" s="3"/>
      <c r="D364" s="3"/>
      <c r="E364" s="3"/>
      <c r="F364" s="3"/>
      <c r="G364" s="3"/>
      <c r="H364" s="3"/>
      <c r="I364" s="3"/>
      <c r="J364" s="3"/>
      <c r="K364" s="3"/>
      <c r="L364" s="2"/>
      <c r="M364" s="2"/>
      <c r="N364" s="3"/>
      <c r="O364" s="3"/>
      <c r="P364" s="3"/>
      <c r="Q364" s="9"/>
      <c r="R364" s="10"/>
      <c r="S364" s="11"/>
      <c r="T364" s="7"/>
      <c r="U364" s="7"/>
    </row>
    <row r="365" spans="2:21" x14ac:dyDescent="0.25">
      <c r="B365" s="3"/>
      <c r="D365" s="3"/>
      <c r="E365" s="3"/>
      <c r="F365" s="3"/>
      <c r="G365" s="3"/>
      <c r="H365" s="3"/>
      <c r="I365" s="3"/>
      <c r="J365" s="3"/>
      <c r="K365" s="3"/>
      <c r="L365" s="2"/>
      <c r="M365" s="2"/>
      <c r="N365" s="3"/>
      <c r="O365" s="3"/>
      <c r="P365" s="3"/>
      <c r="Q365" s="9"/>
      <c r="R365" s="10"/>
      <c r="S365" s="11"/>
      <c r="T365" s="7"/>
      <c r="U365" s="7"/>
    </row>
    <row r="366" spans="2:21" x14ac:dyDescent="0.25">
      <c r="B366" s="3"/>
      <c r="D366" s="3"/>
      <c r="E366" s="3"/>
      <c r="F366" s="3"/>
      <c r="G366" s="3"/>
      <c r="H366" s="3"/>
      <c r="I366" s="3"/>
      <c r="J366" s="3"/>
      <c r="K366" s="3"/>
      <c r="L366" s="2"/>
      <c r="M366" s="2"/>
      <c r="N366" s="3"/>
      <c r="O366" s="3"/>
      <c r="P366" s="3"/>
      <c r="Q366" s="9"/>
      <c r="R366" s="10"/>
      <c r="S366" s="11"/>
      <c r="T366" s="7"/>
      <c r="U366" s="7"/>
    </row>
    <row r="367" spans="2:21" x14ac:dyDescent="0.25">
      <c r="B367" s="3"/>
      <c r="D367" s="3"/>
      <c r="E367" s="3"/>
      <c r="F367" s="3"/>
      <c r="G367" s="3"/>
      <c r="H367" s="3"/>
      <c r="I367" s="3"/>
      <c r="J367" s="3"/>
      <c r="K367" s="3"/>
      <c r="L367" s="2"/>
      <c r="M367" s="2"/>
      <c r="N367" s="3"/>
      <c r="O367" s="3"/>
      <c r="P367" s="3"/>
      <c r="Q367" s="9"/>
      <c r="R367" s="10"/>
      <c r="S367" s="11"/>
      <c r="T367" s="7"/>
      <c r="U367" s="7"/>
    </row>
    <row r="368" spans="2:21" x14ac:dyDescent="0.25">
      <c r="B368" s="3"/>
      <c r="D368" s="3"/>
      <c r="E368" s="3"/>
      <c r="F368" s="3"/>
      <c r="G368" s="3"/>
      <c r="H368" s="3"/>
      <c r="I368" s="3"/>
      <c r="J368" s="3"/>
      <c r="K368" s="3"/>
      <c r="L368" s="2"/>
      <c r="M368" s="2"/>
      <c r="N368" s="3"/>
      <c r="O368" s="3"/>
      <c r="P368" s="3"/>
      <c r="Q368" s="9"/>
      <c r="R368" s="10"/>
      <c r="S368" s="11"/>
      <c r="T368" s="7"/>
      <c r="U368" s="7"/>
    </row>
    <row r="369" spans="2:21" x14ac:dyDescent="0.25">
      <c r="B369" s="3"/>
      <c r="D369" s="3"/>
      <c r="E369" s="3"/>
      <c r="F369" s="3"/>
      <c r="G369" s="3"/>
      <c r="H369" s="3"/>
      <c r="I369" s="3"/>
      <c r="J369" s="3"/>
      <c r="K369" s="3"/>
      <c r="L369" s="2"/>
      <c r="M369" s="2"/>
      <c r="N369" s="3"/>
      <c r="O369" s="3"/>
      <c r="P369" s="3"/>
      <c r="Q369" s="9"/>
      <c r="R369" s="10"/>
      <c r="S369" s="11"/>
      <c r="T369" s="7"/>
      <c r="U369" s="7"/>
    </row>
    <row r="370" spans="2:21" x14ac:dyDescent="0.25">
      <c r="B370" s="3"/>
      <c r="D370" s="3"/>
      <c r="E370" s="3"/>
      <c r="F370" s="3"/>
      <c r="G370" s="3"/>
      <c r="H370" s="3"/>
      <c r="I370" s="3"/>
      <c r="J370" s="3"/>
      <c r="K370" s="3"/>
      <c r="L370" s="2"/>
      <c r="M370" s="2"/>
      <c r="N370" s="3"/>
      <c r="O370" s="3"/>
      <c r="P370" s="3"/>
      <c r="Q370" s="9"/>
      <c r="R370" s="10"/>
      <c r="S370" s="11"/>
      <c r="T370" s="7"/>
      <c r="U370" s="7"/>
    </row>
    <row r="371" spans="2:21" x14ac:dyDescent="0.25">
      <c r="B371" s="3"/>
      <c r="D371" s="3"/>
      <c r="E371" s="3"/>
      <c r="F371" s="3"/>
      <c r="G371" s="3"/>
      <c r="H371" s="3"/>
      <c r="I371" s="3"/>
      <c r="J371" s="3"/>
      <c r="K371" s="3"/>
      <c r="L371" s="2"/>
      <c r="M371" s="2"/>
      <c r="N371" s="3"/>
      <c r="O371" s="3"/>
      <c r="P371" s="3"/>
      <c r="Q371" s="9"/>
      <c r="R371" s="10"/>
      <c r="S371" s="11"/>
      <c r="T371" s="7"/>
      <c r="U371" s="7"/>
    </row>
    <row r="372" spans="2:21" x14ac:dyDescent="0.25">
      <c r="B372" s="3"/>
      <c r="D372" s="3"/>
      <c r="E372" s="3"/>
      <c r="F372" s="3"/>
      <c r="G372" s="3"/>
      <c r="H372" s="3"/>
      <c r="I372" s="3"/>
      <c r="J372" s="3"/>
      <c r="K372" s="3"/>
      <c r="L372" s="2"/>
      <c r="M372" s="2"/>
      <c r="N372" s="3"/>
      <c r="O372" s="3"/>
      <c r="P372" s="3"/>
      <c r="Q372" s="9"/>
      <c r="R372" s="10"/>
      <c r="S372" s="11"/>
      <c r="T372" s="7"/>
      <c r="U372" s="7"/>
    </row>
    <row r="373" spans="2:21" x14ac:dyDescent="0.25">
      <c r="B373" s="3"/>
      <c r="D373" s="3"/>
      <c r="E373" s="3"/>
      <c r="F373" s="3"/>
      <c r="G373" s="3"/>
      <c r="H373" s="3"/>
      <c r="I373" s="3"/>
      <c r="J373" s="3"/>
      <c r="K373" s="3"/>
      <c r="L373" s="2"/>
      <c r="M373" s="2"/>
      <c r="N373" s="3"/>
      <c r="O373" s="3"/>
      <c r="P373" s="3"/>
      <c r="Q373" s="9"/>
      <c r="R373" s="10"/>
      <c r="S373" s="11"/>
      <c r="T373" s="7"/>
      <c r="U373" s="7"/>
    </row>
    <row r="374" spans="2:21" x14ac:dyDescent="0.25">
      <c r="B374" s="3"/>
      <c r="D374" s="3"/>
      <c r="E374" s="3"/>
      <c r="F374" s="3"/>
      <c r="G374" s="3"/>
      <c r="H374" s="3"/>
      <c r="I374" s="3"/>
      <c r="J374" s="3"/>
      <c r="K374" s="3"/>
      <c r="L374" s="2"/>
      <c r="M374" s="2"/>
      <c r="N374" s="3"/>
      <c r="O374" s="3"/>
      <c r="P374" s="3"/>
      <c r="Q374" s="9"/>
      <c r="R374" s="10"/>
      <c r="S374" s="11"/>
      <c r="T374" s="7"/>
      <c r="U374" s="7"/>
    </row>
    <row r="375" spans="2:21" x14ac:dyDescent="0.25">
      <c r="B375" s="3"/>
      <c r="D375" s="3"/>
      <c r="E375" s="3"/>
      <c r="F375" s="3"/>
      <c r="G375" s="3"/>
      <c r="H375" s="3"/>
      <c r="I375" s="3"/>
      <c r="J375" s="3"/>
      <c r="K375" s="3"/>
      <c r="L375" s="2"/>
      <c r="M375" s="2"/>
      <c r="N375" s="3"/>
      <c r="O375" s="3"/>
      <c r="P375" s="3"/>
      <c r="Q375" s="9"/>
      <c r="R375" s="10"/>
      <c r="S375" s="11"/>
      <c r="T375" s="7"/>
      <c r="U375" s="7"/>
    </row>
    <row r="376" spans="2:21" x14ac:dyDescent="0.25">
      <c r="B376" s="3"/>
      <c r="D376" s="3"/>
      <c r="E376" s="3"/>
      <c r="F376" s="3"/>
      <c r="G376" s="3"/>
      <c r="H376" s="3"/>
      <c r="I376" s="3"/>
      <c r="J376" s="3"/>
      <c r="K376" s="3"/>
      <c r="L376" s="2"/>
      <c r="M376" s="2"/>
      <c r="N376" s="3"/>
      <c r="O376" s="3"/>
      <c r="P376" s="3"/>
      <c r="Q376" s="9"/>
      <c r="R376" s="10"/>
      <c r="S376" s="11"/>
      <c r="T376" s="7"/>
      <c r="U376" s="7"/>
    </row>
    <row r="377" spans="2:21" x14ac:dyDescent="0.25">
      <c r="B377" s="3"/>
      <c r="D377" s="3"/>
      <c r="E377" s="3"/>
      <c r="F377" s="3"/>
      <c r="G377" s="3"/>
      <c r="H377" s="3"/>
      <c r="I377" s="3"/>
      <c r="J377" s="3"/>
      <c r="K377" s="3"/>
      <c r="L377" s="2"/>
      <c r="M377" s="2"/>
      <c r="N377" s="3"/>
      <c r="O377" s="3"/>
      <c r="P377" s="3"/>
      <c r="Q377" s="9"/>
      <c r="R377" s="10"/>
      <c r="S377" s="11"/>
      <c r="T377" s="7"/>
      <c r="U377" s="7"/>
    </row>
    <row r="378" spans="2:21" x14ac:dyDescent="0.25">
      <c r="B378" s="3"/>
      <c r="D378" s="3"/>
      <c r="E378" s="3"/>
      <c r="F378" s="3"/>
      <c r="G378" s="3"/>
      <c r="H378" s="3"/>
      <c r="I378" s="3"/>
      <c r="J378" s="3"/>
      <c r="K378" s="3"/>
      <c r="L378" s="2"/>
      <c r="M378" s="2"/>
      <c r="N378" s="3"/>
      <c r="O378" s="3"/>
      <c r="P378" s="3"/>
      <c r="Q378" s="9"/>
      <c r="R378" s="10"/>
      <c r="S378" s="11"/>
      <c r="T378" s="7"/>
      <c r="U378" s="7"/>
    </row>
    <row r="379" spans="2:21" x14ac:dyDescent="0.25">
      <c r="B379" s="3"/>
      <c r="D379" s="3"/>
      <c r="E379" s="3"/>
      <c r="F379" s="3"/>
      <c r="G379" s="3"/>
      <c r="H379" s="3"/>
      <c r="I379" s="3"/>
      <c r="J379" s="3"/>
      <c r="K379" s="3"/>
      <c r="L379" s="2"/>
      <c r="M379" s="2"/>
      <c r="N379" s="3"/>
      <c r="O379" s="3"/>
      <c r="P379" s="3"/>
      <c r="Q379" s="9"/>
      <c r="R379" s="10"/>
      <c r="S379" s="11"/>
      <c r="T379" s="7"/>
      <c r="U379" s="7"/>
    </row>
    <row r="380" spans="2:21" x14ac:dyDescent="0.25">
      <c r="B380" s="3"/>
    </row>
    <row r="381" spans="2:21" x14ac:dyDescent="0.25">
      <c r="B381" s="3"/>
    </row>
    <row r="382" spans="2:21" x14ac:dyDescent="0.25">
      <c r="B382" s="3"/>
    </row>
    <row r="383" spans="2:21" x14ac:dyDescent="0.25">
      <c r="B383" s="3"/>
    </row>
    <row r="384" spans="2:21" x14ac:dyDescent="0.25">
      <c r="B384" s="3"/>
    </row>
    <row r="385" spans="2:2" x14ac:dyDescent="0.25">
      <c r="B385" s="3"/>
    </row>
    <row r="386" spans="2:2" x14ac:dyDescent="0.25">
      <c r="B386" s="3"/>
    </row>
    <row r="387" spans="2:2" x14ac:dyDescent="0.25">
      <c r="B387" s="3"/>
    </row>
    <row r="388" spans="2:2" x14ac:dyDescent="0.25">
      <c r="B388" s="3"/>
    </row>
    <row r="389" spans="2:2" x14ac:dyDescent="0.25">
      <c r="B389" s="3"/>
    </row>
    <row r="390" spans="2:2" x14ac:dyDescent="0.25">
      <c r="B390" s="3"/>
    </row>
    <row r="391" spans="2:2" x14ac:dyDescent="0.25">
      <c r="B391" s="3"/>
    </row>
    <row r="392" spans="2:2" x14ac:dyDescent="0.25">
      <c r="B392" s="3"/>
    </row>
    <row r="393" spans="2:2" x14ac:dyDescent="0.25">
      <c r="B393" s="3"/>
    </row>
    <row r="394" spans="2:2" x14ac:dyDescent="0.25">
      <c r="B394" s="3"/>
    </row>
    <row r="395" spans="2:2" x14ac:dyDescent="0.25">
      <c r="B395" s="3"/>
    </row>
    <row r="396" spans="2:2" x14ac:dyDescent="0.25">
      <c r="B396" s="3"/>
    </row>
    <row r="397" spans="2:2" x14ac:dyDescent="0.25">
      <c r="B397" s="3"/>
    </row>
    <row r="398" spans="2:2" x14ac:dyDescent="0.25">
      <c r="B398" s="3"/>
    </row>
    <row r="399" spans="2:2" x14ac:dyDescent="0.25">
      <c r="B399" s="3"/>
    </row>
    <row r="400" spans="2:2" x14ac:dyDescent="0.25">
      <c r="B400" s="3"/>
    </row>
    <row r="401" spans="2:2" x14ac:dyDescent="0.25">
      <c r="B401" s="3"/>
    </row>
    <row r="402" spans="2:2" x14ac:dyDescent="0.25">
      <c r="B402" s="3"/>
    </row>
    <row r="403" spans="2:2" x14ac:dyDescent="0.25">
      <c r="B403" s="3"/>
    </row>
    <row r="404" spans="2:2" x14ac:dyDescent="0.25">
      <c r="B404" s="3"/>
    </row>
  </sheetData>
  <autoFilter ref="A1:V283" xr:uid="{3E7DF130-83A7-4A26-A095-88FFC27D1F7B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B3F6-F2F2-43FA-B383-9CA99EE1DED7}">
  <dimension ref="A1:V201"/>
  <sheetViews>
    <sheetView workbookViewId="0">
      <pane ySplit="1" topLeftCell="A164" activePane="bottomLeft" state="frozen"/>
      <selection pane="bottomLeft" activeCell="A2" sqref="A2:V201"/>
    </sheetView>
  </sheetViews>
  <sheetFormatPr defaultColWidth="8.85546875" defaultRowHeight="15" x14ac:dyDescent="0.25"/>
  <cols>
    <col min="1" max="1" width="5" bestFit="1" customWidth="1"/>
    <col min="2" max="2" width="12.42578125" bestFit="1" customWidth="1"/>
    <col min="3" max="3" width="9.7109375" bestFit="1" customWidth="1"/>
    <col min="4" max="5" width="5.28515625" bestFit="1" customWidth="1"/>
    <col min="6" max="6" width="12" bestFit="1" customWidth="1"/>
    <col min="7" max="7" width="4.5703125" bestFit="1" customWidth="1"/>
    <col min="8" max="8" width="3.5703125" bestFit="1" customWidth="1"/>
    <col min="9" max="9" width="4.42578125" bestFit="1" customWidth="1"/>
    <col min="10" max="10" width="3.7109375" bestFit="1" customWidth="1"/>
    <col min="11" max="11" width="3.140625" bestFit="1" customWidth="1"/>
    <col min="12" max="12" width="11.42578125" bestFit="1" customWidth="1"/>
    <col min="13" max="13" width="10.140625" bestFit="1" customWidth="1"/>
    <col min="14" max="14" width="7.140625" bestFit="1" customWidth="1"/>
    <col min="15" max="15" width="6" bestFit="1" customWidth="1"/>
    <col min="16" max="16" width="5" bestFit="1" customWidth="1"/>
    <col min="17" max="17" width="10.140625" bestFit="1" customWidth="1"/>
    <col min="18" max="19" width="8" bestFit="1" customWidth="1"/>
    <col min="20" max="21" width="6" bestFit="1" customWidth="1"/>
    <col min="22" max="22" width="5.42578125" bestFit="1" customWidth="1"/>
  </cols>
  <sheetData>
    <row r="1" spans="1:22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 x14ac:dyDescent="0.25">
      <c r="A2" s="12">
        <v>2024</v>
      </c>
      <c r="B2" s="12" t="s">
        <v>333</v>
      </c>
      <c r="C2" s="12" t="s">
        <v>118</v>
      </c>
      <c r="D2" s="12" t="s">
        <v>119</v>
      </c>
      <c r="E2" s="12" t="s">
        <v>120</v>
      </c>
      <c r="F2" s="12" t="s">
        <v>334</v>
      </c>
      <c r="G2" s="12">
        <v>101</v>
      </c>
      <c r="H2" s="12">
        <v>1</v>
      </c>
      <c r="I2" s="12">
        <v>1</v>
      </c>
      <c r="J2" s="12">
        <v>1</v>
      </c>
      <c r="K2" s="12">
        <v>19</v>
      </c>
      <c r="L2" s="13" t="s">
        <v>113</v>
      </c>
      <c r="M2" s="13" t="s">
        <v>538</v>
      </c>
      <c r="N2" s="12">
        <v>11.66</v>
      </c>
      <c r="O2" s="12">
        <v>17.3</v>
      </c>
      <c r="P2" s="12">
        <v>41.6</v>
      </c>
      <c r="Q2" s="26">
        <f>N2*(1-O2/100)/(1-0.12)</f>
        <v>10.957750000000001</v>
      </c>
      <c r="R2" s="12">
        <v>7174.32</v>
      </c>
      <c r="S2" s="12">
        <v>6399.93</v>
      </c>
      <c r="T2" s="12">
        <v>67.959999999999994</v>
      </c>
      <c r="U2" s="12">
        <v>53.13</v>
      </c>
      <c r="V2" s="12">
        <v>2</v>
      </c>
    </row>
    <row r="3" spans="1:22" x14ac:dyDescent="0.25">
      <c r="A3" s="12">
        <v>2024</v>
      </c>
      <c r="B3" s="12" t="s">
        <v>333</v>
      </c>
      <c r="C3" s="12" t="s">
        <v>118</v>
      </c>
      <c r="D3" s="12" t="s">
        <v>119</v>
      </c>
      <c r="E3" s="12" t="s">
        <v>120</v>
      </c>
      <c r="F3" s="12" t="s">
        <v>335</v>
      </c>
      <c r="G3" s="12">
        <v>102</v>
      </c>
      <c r="H3" s="12">
        <v>2</v>
      </c>
      <c r="I3" s="12">
        <v>1</v>
      </c>
      <c r="J3" s="12">
        <v>1</v>
      </c>
      <c r="K3" s="12">
        <v>13</v>
      </c>
      <c r="L3" s="13" t="s">
        <v>336</v>
      </c>
      <c r="M3" s="13" t="s">
        <v>538</v>
      </c>
      <c r="N3" s="12">
        <v>11.23</v>
      </c>
      <c r="O3" s="12">
        <v>15.3</v>
      </c>
      <c r="P3" s="12">
        <v>41.6</v>
      </c>
      <c r="Q3" s="26">
        <f t="shared" ref="Q3:Q66" si="0">N3*(1-O3/100)/(1-0.12)</f>
        <v>10.808875</v>
      </c>
      <c r="R3" s="12">
        <v>7076.85</v>
      </c>
      <c r="S3" s="12">
        <v>6312.98</v>
      </c>
      <c r="T3" s="12">
        <v>68</v>
      </c>
      <c r="U3" s="12">
        <v>47.68</v>
      </c>
      <c r="V3" s="12">
        <v>0</v>
      </c>
    </row>
    <row r="4" spans="1:22" x14ac:dyDescent="0.25">
      <c r="A4" s="12">
        <v>2024</v>
      </c>
      <c r="B4" s="12" t="s">
        <v>333</v>
      </c>
      <c r="C4" s="12" t="s">
        <v>118</v>
      </c>
      <c r="D4" s="12" t="s">
        <v>119</v>
      </c>
      <c r="E4" s="12" t="s">
        <v>120</v>
      </c>
      <c r="F4" s="12" t="s">
        <v>337</v>
      </c>
      <c r="G4" s="12">
        <v>103</v>
      </c>
      <c r="H4" s="12">
        <v>3</v>
      </c>
      <c r="I4" s="12">
        <v>1</v>
      </c>
      <c r="J4" s="12">
        <v>1</v>
      </c>
      <c r="K4" s="12">
        <v>14</v>
      </c>
      <c r="L4" s="13" t="s">
        <v>336</v>
      </c>
      <c r="M4" s="13" t="s">
        <v>30</v>
      </c>
      <c r="N4" s="12">
        <v>11.83</v>
      </c>
      <c r="O4" s="12">
        <v>14.8</v>
      </c>
      <c r="P4" s="12">
        <v>41.9</v>
      </c>
      <c r="Q4" s="26">
        <f t="shared" si="0"/>
        <v>11.453590909090909</v>
      </c>
      <c r="R4" s="12">
        <v>7498.96</v>
      </c>
      <c r="S4" s="12">
        <v>6689.52</v>
      </c>
      <c r="T4" s="12">
        <v>68.75</v>
      </c>
      <c r="U4" s="12">
        <v>49.31</v>
      </c>
      <c r="V4" s="12">
        <v>1</v>
      </c>
    </row>
    <row r="5" spans="1:22" x14ac:dyDescent="0.25">
      <c r="A5" s="12">
        <v>2024</v>
      </c>
      <c r="B5" s="12" t="s">
        <v>333</v>
      </c>
      <c r="C5" s="12" t="s">
        <v>118</v>
      </c>
      <c r="D5" s="12" t="s">
        <v>119</v>
      </c>
      <c r="E5" s="12" t="s">
        <v>120</v>
      </c>
      <c r="F5" s="12" t="s">
        <v>338</v>
      </c>
      <c r="G5" s="12">
        <v>104</v>
      </c>
      <c r="H5" s="12">
        <v>4</v>
      </c>
      <c r="I5" s="12">
        <v>1</v>
      </c>
      <c r="J5" s="12">
        <v>1</v>
      </c>
      <c r="K5" s="12">
        <v>6</v>
      </c>
      <c r="L5" s="13" t="s">
        <v>339</v>
      </c>
      <c r="M5" s="13" t="s">
        <v>53</v>
      </c>
      <c r="N5" s="12">
        <v>12.26</v>
      </c>
      <c r="O5" s="12">
        <v>22.6</v>
      </c>
      <c r="P5" s="12">
        <v>40.799999999999997</v>
      </c>
      <c r="Q5" s="26">
        <f t="shared" si="0"/>
        <v>10.783227272727274</v>
      </c>
      <c r="R5" s="12">
        <v>7060.05</v>
      </c>
      <c r="S5" s="12">
        <v>6298</v>
      </c>
      <c r="T5" s="12">
        <v>65.959999999999994</v>
      </c>
      <c r="U5" s="12">
        <v>59.03</v>
      </c>
      <c r="V5" s="12">
        <v>2</v>
      </c>
    </row>
    <row r="6" spans="1:22" x14ac:dyDescent="0.25">
      <c r="A6" s="12">
        <v>2024</v>
      </c>
      <c r="B6" s="12" t="s">
        <v>333</v>
      </c>
      <c r="C6" s="12" t="s">
        <v>118</v>
      </c>
      <c r="D6" s="12" t="s">
        <v>119</v>
      </c>
      <c r="E6" s="12" t="s">
        <v>120</v>
      </c>
      <c r="F6" s="12" t="s">
        <v>340</v>
      </c>
      <c r="G6" s="12">
        <v>105</v>
      </c>
      <c r="H6" s="12">
        <v>5</v>
      </c>
      <c r="I6" s="12">
        <v>1</v>
      </c>
      <c r="J6" s="12">
        <v>1</v>
      </c>
      <c r="K6" s="12">
        <v>9</v>
      </c>
      <c r="L6" s="13" t="s">
        <v>69</v>
      </c>
      <c r="M6" s="13" t="s">
        <v>53</v>
      </c>
      <c r="N6" s="12">
        <v>13.02</v>
      </c>
      <c r="O6" s="12">
        <v>15.8</v>
      </c>
      <c r="P6" s="12">
        <v>41.9</v>
      </c>
      <c r="Q6" s="26">
        <f t="shared" si="0"/>
        <v>12.457772727272728</v>
      </c>
      <c r="R6" s="12">
        <v>8156.42</v>
      </c>
      <c r="S6" s="12">
        <v>7276.02</v>
      </c>
      <c r="T6" s="12">
        <v>70.459999999999994</v>
      </c>
      <c r="U6" s="12">
        <v>56.62</v>
      </c>
      <c r="V6" s="12">
        <v>3</v>
      </c>
    </row>
    <row r="7" spans="1:22" x14ac:dyDescent="0.25">
      <c r="A7" s="12">
        <v>2024</v>
      </c>
      <c r="B7" s="12" t="s">
        <v>333</v>
      </c>
      <c r="C7" s="12" t="s">
        <v>118</v>
      </c>
      <c r="D7" s="12" t="s">
        <v>119</v>
      </c>
      <c r="E7" s="12" t="s">
        <v>120</v>
      </c>
      <c r="F7" s="12" t="s">
        <v>341</v>
      </c>
      <c r="G7" s="12">
        <v>106</v>
      </c>
      <c r="H7" s="12">
        <v>6</v>
      </c>
      <c r="I7" s="12">
        <v>1</v>
      </c>
      <c r="J7" s="12">
        <v>2</v>
      </c>
      <c r="K7" s="12">
        <v>12</v>
      </c>
      <c r="L7" s="13" t="s">
        <v>27</v>
      </c>
      <c r="M7" s="13" t="s">
        <v>53</v>
      </c>
      <c r="N7" s="12">
        <v>12.43</v>
      </c>
      <c r="O7" s="12">
        <v>16.5</v>
      </c>
      <c r="P7" s="12">
        <v>41.8</v>
      </c>
      <c r="Q7" s="26">
        <f t="shared" si="0"/>
        <v>11.794374999999999</v>
      </c>
      <c r="R7" s="12">
        <v>7722.08</v>
      </c>
      <c r="S7" s="12">
        <v>6888.56</v>
      </c>
      <c r="T7" s="12">
        <v>71.69</v>
      </c>
      <c r="U7" s="12">
        <v>59.12</v>
      </c>
      <c r="V7" s="12">
        <v>1</v>
      </c>
    </row>
    <row r="8" spans="1:22" x14ac:dyDescent="0.25">
      <c r="A8" s="12">
        <v>2024</v>
      </c>
      <c r="B8" s="12" t="s">
        <v>333</v>
      </c>
      <c r="C8" s="12" t="s">
        <v>118</v>
      </c>
      <c r="D8" s="12" t="s">
        <v>119</v>
      </c>
      <c r="E8" s="12" t="s">
        <v>120</v>
      </c>
      <c r="F8" s="12" t="s">
        <v>342</v>
      </c>
      <c r="G8" s="12">
        <v>107</v>
      </c>
      <c r="H8" s="12">
        <v>7</v>
      </c>
      <c r="I8" s="12">
        <v>1</v>
      </c>
      <c r="J8" s="12">
        <v>2</v>
      </c>
      <c r="K8" s="12">
        <v>10</v>
      </c>
      <c r="L8" s="13" t="s">
        <v>27</v>
      </c>
      <c r="M8" s="13" t="s">
        <v>538</v>
      </c>
      <c r="N8" s="12">
        <v>10.94</v>
      </c>
      <c r="O8" s="12">
        <v>16</v>
      </c>
      <c r="P8" s="12">
        <v>41.9</v>
      </c>
      <c r="Q8" s="26">
        <f t="shared" si="0"/>
        <v>10.442727272727272</v>
      </c>
      <c r="R8" s="12">
        <v>6837.12</v>
      </c>
      <c r="S8" s="12">
        <v>6099.12</v>
      </c>
      <c r="T8" s="12">
        <v>71.680000000000007</v>
      </c>
      <c r="U8" s="12">
        <v>58.48</v>
      </c>
      <c r="V8" s="12">
        <v>2</v>
      </c>
    </row>
    <row r="9" spans="1:22" x14ac:dyDescent="0.25">
      <c r="A9" s="12">
        <v>2024</v>
      </c>
      <c r="B9" s="12" t="s">
        <v>333</v>
      </c>
      <c r="C9" s="12" t="s">
        <v>118</v>
      </c>
      <c r="D9" s="12" t="s">
        <v>119</v>
      </c>
      <c r="E9" s="12" t="s">
        <v>120</v>
      </c>
      <c r="F9" s="12" t="s">
        <v>343</v>
      </c>
      <c r="G9" s="12">
        <v>108</v>
      </c>
      <c r="H9" s="12">
        <v>8</v>
      </c>
      <c r="I9" s="12">
        <v>1</v>
      </c>
      <c r="J9" s="12">
        <v>2</v>
      </c>
      <c r="K9" s="12">
        <v>13</v>
      </c>
      <c r="L9" s="13" t="s">
        <v>336</v>
      </c>
      <c r="M9" s="13" t="s">
        <v>538</v>
      </c>
      <c r="N9" s="12">
        <v>10.28</v>
      </c>
      <c r="O9" s="12">
        <v>13.7</v>
      </c>
      <c r="P9" s="12">
        <v>42.3</v>
      </c>
      <c r="Q9" s="26">
        <f t="shared" si="0"/>
        <v>10.081409090909091</v>
      </c>
      <c r="R9" s="12">
        <v>6600.55</v>
      </c>
      <c r="S9" s="12">
        <v>5888.1</v>
      </c>
      <c r="T9" s="12">
        <v>68.08</v>
      </c>
      <c r="U9" s="12">
        <v>47.9</v>
      </c>
      <c r="V9" s="12">
        <v>1</v>
      </c>
    </row>
    <row r="10" spans="1:22" x14ac:dyDescent="0.25">
      <c r="A10" s="12">
        <v>2024</v>
      </c>
      <c r="B10" s="12" t="s">
        <v>333</v>
      </c>
      <c r="C10" s="12" t="s">
        <v>118</v>
      </c>
      <c r="D10" s="12" t="s">
        <v>119</v>
      </c>
      <c r="E10" s="12" t="s">
        <v>120</v>
      </c>
      <c r="F10" s="12" t="s">
        <v>344</v>
      </c>
      <c r="G10" s="12">
        <v>109</v>
      </c>
      <c r="H10" s="12">
        <v>9</v>
      </c>
      <c r="I10" s="12">
        <v>1</v>
      </c>
      <c r="J10" s="12">
        <v>2</v>
      </c>
      <c r="K10" s="12">
        <v>1</v>
      </c>
      <c r="L10" s="13" t="s">
        <v>100</v>
      </c>
      <c r="M10" s="13" t="s">
        <v>538</v>
      </c>
      <c r="N10" s="12">
        <v>11.27</v>
      </c>
      <c r="O10" s="12">
        <v>14.3</v>
      </c>
      <c r="P10" s="12">
        <v>42.3</v>
      </c>
      <c r="Q10" s="26">
        <f t="shared" si="0"/>
        <v>10.97544318181818</v>
      </c>
      <c r="R10" s="12">
        <v>7185.9</v>
      </c>
      <c r="S10" s="12">
        <v>6410.26</v>
      </c>
      <c r="T10" s="12">
        <v>66.989999999999995</v>
      </c>
      <c r="U10" s="12">
        <v>44.39</v>
      </c>
      <c r="V10" s="12">
        <v>1</v>
      </c>
    </row>
    <row r="11" spans="1:22" x14ac:dyDescent="0.25">
      <c r="A11" s="12">
        <v>2024</v>
      </c>
      <c r="B11" s="12" t="s">
        <v>333</v>
      </c>
      <c r="C11" s="12" t="s">
        <v>118</v>
      </c>
      <c r="D11" s="12" t="s">
        <v>119</v>
      </c>
      <c r="E11" s="12" t="s">
        <v>120</v>
      </c>
      <c r="F11" s="12" t="s">
        <v>345</v>
      </c>
      <c r="G11" s="12">
        <v>110</v>
      </c>
      <c r="H11" s="12">
        <v>10</v>
      </c>
      <c r="I11" s="12">
        <v>1</v>
      </c>
      <c r="J11" s="12">
        <v>2</v>
      </c>
      <c r="K11" s="12">
        <v>17</v>
      </c>
      <c r="L11" s="13" t="s">
        <v>42</v>
      </c>
      <c r="M11" s="13" t="s">
        <v>30</v>
      </c>
      <c r="N11" s="12">
        <v>12.27</v>
      </c>
      <c r="O11" s="12">
        <v>14.8</v>
      </c>
      <c r="P11" s="12">
        <v>42.3</v>
      </c>
      <c r="Q11" s="26">
        <f t="shared" si="0"/>
        <v>11.879590909090908</v>
      </c>
      <c r="R11" s="12">
        <v>7777.87</v>
      </c>
      <c r="S11" s="12">
        <v>6938.33</v>
      </c>
      <c r="T11" s="12">
        <v>70.739999999999995</v>
      </c>
      <c r="U11" s="12">
        <v>61.13</v>
      </c>
      <c r="V11" s="12">
        <v>1</v>
      </c>
    </row>
    <row r="12" spans="1:22" x14ac:dyDescent="0.25">
      <c r="A12" s="12">
        <v>2024</v>
      </c>
      <c r="B12" s="12" t="s">
        <v>333</v>
      </c>
      <c r="C12" s="12" t="s">
        <v>118</v>
      </c>
      <c r="D12" s="12" t="s">
        <v>119</v>
      </c>
      <c r="E12" s="12" t="s">
        <v>120</v>
      </c>
      <c r="F12" s="12" t="s">
        <v>346</v>
      </c>
      <c r="G12" s="12">
        <v>111</v>
      </c>
      <c r="H12" s="12">
        <v>11</v>
      </c>
      <c r="I12" s="12">
        <v>1</v>
      </c>
      <c r="J12" s="12">
        <v>3</v>
      </c>
      <c r="K12" s="12">
        <v>5</v>
      </c>
      <c r="L12" s="13" t="s">
        <v>339</v>
      </c>
      <c r="M12" s="13" t="s">
        <v>30</v>
      </c>
      <c r="N12" s="12">
        <v>10.4</v>
      </c>
      <c r="O12" s="12">
        <v>21</v>
      </c>
      <c r="P12" s="12">
        <v>41.4</v>
      </c>
      <c r="Q12" s="26">
        <f t="shared" si="0"/>
        <v>9.3363636363636378</v>
      </c>
      <c r="R12" s="12">
        <v>6112.75</v>
      </c>
      <c r="S12" s="12">
        <v>5452.95</v>
      </c>
      <c r="T12" s="12">
        <v>67.89</v>
      </c>
      <c r="U12" s="12">
        <v>61.38</v>
      </c>
      <c r="V12" s="12">
        <v>1</v>
      </c>
    </row>
    <row r="13" spans="1:22" x14ac:dyDescent="0.25">
      <c r="A13" s="12">
        <v>2024</v>
      </c>
      <c r="B13" s="12" t="s">
        <v>333</v>
      </c>
      <c r="C13" s="12" t="s">
        <v>118</v>
      </c>
      <c r="D13" s="12" t="s">
        <v>119</v>
      </c>
      <c r="E13" s="12" t="s">
        <v>120</v>
      </c>
      <c r="F13" s="12" t="s">
        <v>347</v>
      </c>
      <c r="G13" s="12">
        <v>112</v>
      </c>
      <c r="H13" s="12">
        <v>12</v>
      </c>
      <c r="I13" s="12">
        <v>1</v>
      </c>
      <c r="J13" s="12">
        <v>3</v>
      </c>
      <c r="K13" s="12">
        <v>2</v>
      </c>
      <c r="L13" s="13" t="s">
        <v>100</v>
      </c>
      <c r="M13" s="13" t="s">
        <v>30</v>
      </c>
      <c r="N13" s="12">
        <v>12.16</v>
      </c>
      <c r="O13" s="12">
        <v>13.3</v>
      </c>
      <c r="P13" s="12">
        <v>42.9</v>
      </c>
      <c r="Q13" s="26">
        <f t="shared" si="0"/>
        <v>11.980363636363636</v>
      </c>
      <c r="R13" s="12">
        <v>7843.85</v>
      </c>
      <c r="S13" s="12">
        <v>6997.19</v>
      </c>
      <c r="T13" s="12">
        <v>69.319999999999993</v>
      </c>
      <c r="U13" s="12">
        <v>47.85</v>
      </c>
      <c r="V13" s="12">
        <v>1</v>
      </c>
    </row>
    <row r="14" spans="1:22" x14ac:dyDescent="0.25">
      <c r="A14" s="12">
        <v>2024</v>
      </c>
      <c r="B14" s="12" t="s">
        <v>333</v>
      </c>
      <c r="C14" s="12" t="s">
        <v>118</v>
      </c>
      <c r="D14" s="12" t="s">
        <v>119</v>
      </c>
      <c r="E14" s="12" t="s">
        <v>120</v>
      </c>
      <c r="F14" s="12" t="s">
        <v>348</v>
      </c>
      <c r="G14" s="12">
        <v>113</v>
      </c>
      <c r="H14" s="12">
        <v>13</v>
      </c>
      <c r="I14" s="12">
        <v>1</v>
      </c>
      <c r="J14" s="12">
        <v>3</v>
      </c>
      <c r="K14" s="12">
        <v>19</v>
      </c>
      <c r="L14" s="13" t="s">
        <v>113</v>
      </c>
      <c r="M14" s="13" t="s">
        <v>538</v>
      </c>
      <c r="N14" s="12">
        <v>11.15</v>
      </c>
      <c r="O14" s="12">
        <v>16.3</v>
      </c>
      <c r="P14" s="12">
        <v>42</v>
      </c>
      <c r="Q14" s="26">
        <f t="shared" si="0"/>
        <v>10.605170454545453</v>
      </c>
      <c r="R14" s="12">
        <v>6943.47</v>
      </c>
      <c r="S14" s="12">
        <v>6194</v>
      </c>
      <c r="T14" s="12">
        <v>68.930000000000007</v>
      </c>
      <c r="U14" s="12">
        <v>57.73</v>
      </c>
      <c r="V14" s="12">
        <v>0</v>
      </c>
    </row>
    <row r="15" spans="1:22" x14ac:dyDescent="0.25">
      <c r="A15" s="12">
        <v>2024</v>
      </c>
      <c r="B15" s="12" t="s">
        <v>333</v>
      </c>
      <c r="C15" s="12" t="s">
        <v>118</v>
      </c>
      <c r="D15" s="12" t="s">
        <v>119</v>
      </c>
      <c r="E15" s="12" t="s">
        <v>120</v>
      </c>
      <c r="F15" s="12" t="s">
        <v>349</v>
      </c>
      <c r="G15" s="12">
        <v>114</v>
      </c>
      <c r="H15" s="12">
        <v>14</v>
      </c>
      <c r="I15" s="12">
        <v>1</v>
      </c>
      <c r="J15" s="12">
        <v>3</v>
      </c>
      <c r="K15" s="12">
        <v>1</v>
      </c>
      <c r="L15" s="13" t="s">
        <v>100</v>
      </c>
      <c r="M15" s="13" t="s">
        <v>538</v>
      </c>
      <c r="N15" s="12">
        <v>10.57</v>
      </c>
      <c r="O15" s="12">
        <v>14.1</v>
      </c>
      <c r="P15" s="12">
        <v>42.5</v>
      </c>
      <c r="Q15" s="26">
        <f t="shared" si="0"/>
        <v>10.317761363636363</v>
      </c>
      <c r="R15" s="12">
        <v>6755.3</v>
      </c>
      <c r="S15" s="12">
        <v>6026.14</v>
      </c>
      <c r="T15" s="12">
        <v>67.349999999999994</v>
      </c>
      <c r="U15" s="12">
        <v>46.1</v>
      </c>
      <c r="V15" s="12">
        <v>1</v>
      </c>
    </row>
    <row r="16" spans="1:22" x14ac:dyDescent="0.25">
      <c r="A16" s="12">
        <v>2024</v>
      </c>
      <c r="B16" s="12" t="s">
        <v>333</v>
      </c>
      <c r="C16" s="12" t="s">
        <v>118</v>
      </c>
      <c r="D16" s="12" t="s">
        <v>119</v>
      </c>
      <c r="E16" s="12" t="s">
        <v>120</v>
      </c>
      <c r="F16" s="12" t="s">
        <v>350</v>
      </c>
      <c r="G16" s="12">
        <v>115</v>
      </c>
      <c r="H16" s="12">
        <v>15</v>
      </c>
      <c r="I16" s="12">
        <v>1</v>
      </c>
      <c r="J16" s="12">
        <v>3</v>
      </c>
      <c r="K16" s="12">
        <v>6</v>
      </c>
      <c r="L16" s="13" t="s">
        <v>339</v>
      </c>
      <c r="M16" s="13" t="s">
        <v>53</v>
      </c>
      <c r="N16" s="12">
        <v>10.44</v>
      </c>
      <c r="O16" s="12">
        <v>19.399999999999999</v>
      </c>
      <c r="P16" s="12">
        <v>41.4</v>
      </c>
      <c r="Q16" s="26">
        <f t="shared" si="0"/>
        <v>9.5620909090909088</v>
      </c>
      <c r="R16" s="12">
        <v>6260.54</v>
      </c>
      <c r="S16" s="12">
        <v>5584.78</v>
      </c>
      <c r="T16" s="12">
        <v>68.55</v>
      </c>
      <c r="U16" s="12">
        <v>61.74</v>
      </c>
      <c r="V16" s="12">
        <v>2</v>
      </c>
    </row>
    <row r="17" spans="1:22" x14ac:dyDescent="0.25">
      <c r="A17" s="12">
        <v>2024</v>
      </c>
      <c r="B17" s="12" t="s">
        <v>333</v>
      </c>
      <c r="C17" s="12" t="s">
        <v>118</v>
      </c>
      <c r="D17" s="12" t="s">
        <v>119</v>
      </c>
      <c r="E17" s="12" t="s">
        <v>120</v>
      </c>
      <c r="F17" s="12" t="s">
        <v>351</v>
      </c>
      <c r="G17" s="12">
        <v>201</v>
      </c>
      <c r="H17" s="12">
        <v>1</v>
      </c>
      <c r="I17" s="12">
        <v>2</v>
      </c>
      <c r="J17" s="12">
        <v>1</v>
      </c>
      <c r="K17" s="12">
        <v>18</v>
      </c>
      <c r="L17" s="13" t="s">
        <v>42</v>
      </c>
      <c r="M17" s="13" t="s">
        <v>53</v>
      </c>
      <c r="N17" s="12">
        <v>10.88</v>
      </c>
      <c r="O17" s="12">
        <v>15.4</v>
      </c>
      <c r="P17" s="12">
        <v>41.8</v>
      </c>
      <c r="Q17" s="26">
        <f t="shared" si="0"/>
        <v>10.459636363636363</v>
      </c>
      <c r="R17" s="12">
        <v>6848.19</v>
      </c>
      <c r="S17" s="12">
        <v>6109</v>
      </c>
      <c r="T17" s="12">
        <v>69.02</v>
      </c>
      <c r="U17" s="12">
        <v>56.51</v>
      </c>
      <c r="V17" s="12">
        <v>1</v>
      </c>
    </row>
    <row r="18" spans="1:22" x14ac:dyDescent="0.25">
      <c r="A18" s="12">
        <v>2024</v>
      </c>
      <c r="B18" s="12" t="s">
        <v>333</v>
      </c>
      <c r="C18" s="12" t="s">
        <v>118</v>
      </c>
      <c r="D18" s="12" t="s">
        <v>119</v>
      </c>
      <c r="E18" s="12" t="s">
        <v>120</v>
      </c>
      <c r="F18" s="12" t="s">
        <v>352</v>
      </c>
      <c r="G18" s="12">
        <v>202</v>
      </c>
      <c r="H18" s="12">
        <v>2</v>
      </c>
      <c r="I18" s="12">
        <v>2</v>
      </c>
      <c r="J18" s="12">
        <v>1</v>
      </c>
      <c r="K18" s="12">
        <v>7</v>
      </c>
      <c r="L18" s="13" t="s">
        <v>69</v>
      </c>
      <c r="M18" s="13" t="s">
        <v>538</v>
      </c>
      <c r="N18" s="12">
        <v>12.13</v>
      </c>
      <c r="O18" s="12">
        <v>14.8</v>
      </c>
      <c r="P18" s="12">
        <v>42.1</v>
      </c>
      <c r="Q18" s="26">
        <f t="shared" si="0"/>
        <v>11.744045454545455</v>
      </c>
      <c r="R18" s="12">
        <v>7689.12</v>
      </c>
      <c r="S18" s="12">
        <v>6859.17</v>
      </c>
      <c r="T18" s="12">
        <v>69.3</v>
      </c>
      <c r="U18" s="12">
        <v>51.78</v>
      </c>
      <c r="V18" s="12">
        <v>1</v>
      </c>
    </row>
    <row r="19" spans="1:22" x14ac:dyDescent="0.25">
      <c r="A19" s="12">
        <v>2024</v>
      </c>
      <c r="B19" s="12" t="s">
        <v>333</v>
      </c>
      <c r="C19" s="12" t="s">
        <v>118</v>
      </c>
      <c r="D19" s="12" t="s">
        <v>119</v>
      </c>
      <c r="E19" s="12" t="s">
        <v>120</v>
      </c>
      <c r="F19" s="12" t="s">
        <v>353</v>
      </c>
      <c r="G19" s="12">
        <v>203</v>
      </c>
      <c r="H19" s="12">
        <v>3</v>
      </c>
      <c r="I19" s="12">
        <v>2</v>
      </c>
      <c r="J19" s="12">
        <v>1</v>
      </c>
      <c r="K19" s="12">
        <v>17</v>
      </c>
      <c r="L19" s="13" t="s">
        <v>42</v>
      </c>
      <c r="M19" s="13" t="s">
        <v>30</v>
      </c>
      <c r="N19" s="12">
        <v>11.94</v>
      </c>
      <c r="O19" s="12">
        <v>15.8</v>
      </c>
      <c r="P19" s="12">
        <v>41.8</v>
      </c>
      <c r="Q19" s="26">
        <f t="shared" si="0"/>
        <v>11.424409090909089</v>
      </c>
      <c r="R19" s="12">
        <v>7479.85</v>
      </c>
      <c r="S19" s="12">
        <v>6672.48</v>
      </c>
      <c r="T19" s="12">
        <v>69.349999999999994</v>
      </c>
      <c r="U19" s="12">
        <v>57.13</v>
      </c>
      <c r="V19" s="12">
        <v>1</v>
      </c>
    </row>
    <row r="20" spans="1:22" x14ac:dyDescent="0.25">
      <c r="A20" s="12">
        <v>2024</v>
      </c>
      <c r="B20" s="12" t="s">
        <v>333</v>
      </c>
      <c r="C20" s="12" t="s">
        <v>118</v>
      </c>
      <c r="D20" s="12" t="s">
        <v>119</v>
      </c>
      <c r="E20" s="12" t="s">
        <v>120</v>
      </c>
      <c r="F20" s="12" t="s">
        <v>354</v>
      </c>
      <c r="G20" s="12">
        <v>204</v>
      </c>
      <c r="H20" s="12">
        <v>4</v>
      </c>
      <c r="I20" s="12">
        <v>2</v>
      </c>
      <c r="J20" s="12">
        <v>1</v>
      </c>
      <c r="K20" s="12">
        <v>8</v>
      </c>
      <c r="L20" s="13" t="s">
        <v>69</v>
      </c>
      <c r="M20" s="13" t="s">
        <v>30</v>
      </c>
      <c r="N20" s="12">
        <v>12.6</v>
      </c>
      <c r="O20" s="12">
        <v>14.3</v>
      </c>
      <c r="P20" s="12">
        <v>42.5</v>
      </c>
      <c r="Q20" s="26">
        <f t="shared" si="0"/>
        <v>12.270681818181817</v>
      </c>
      <c r="R20" s="12">
        <v>8033.93</v>
      </c>
      <c r="S20" s="12">
        <v>7166.75</v>
      </c>
      <c r="T20" s="12">
        <v>70.709999999999994</v>
      </c>
      <c r="U20" s="12">
        <v>55.85</v>
      </c>
      <c r="V20" s="12">
        <v>1</v>
      </c>
    </row>
    <row r="21" spans="1:22" x14ac:dyDescent="0.25">
      <c r="A21" s="12">
        <v>2024</v>
      </c>
      <c r="B21" s="12" t="s">
        <v>333</v>
      </c>
      <c r="C21" s="12" t="s">
        <v>118</v>
      </c>
      <c r="D21" s="12" t="s">
        <v>119</v>
      </c>
      <c r="E21" s="12" t="s">
        <v>120</v>
      </c>
      <c r="F21" s="12" t="s">
        <v>355</v>
      </c>
      <c r="G21" s="12">
        <v>205</v>
      </c>
      <c r="H21" s="12">
        <v>5</v>
      </c>
      <c r="I21" s="12">
        <v>2</v>
      </c>
      <c r="J21" s="12">
        <v>1</v>
      </c>
      <c r="K21" s="12">
        <v>15</v>
      </c>
      <c r="L21" s="13" t="s">
        <v>336</v>
      </c>
      <c r="M21" s="13" t="s">
        <v>53</v>
      </c>
      <c r="N21" s="12">
        <v>11.19</v>
      </c>
      <c r="O21" s="12">
        <v>15.4</v>
      </c>
      <c r="P21" s="12">
        <v>41.7</v>
      </c>
      <c r="Q21" s="26">
        <f t="shared" si="0"/>
        <v>10.75765909090909</v>
      </c>
      <c r="R21" s="12">
        <v>7043.31</v>
      </c>
      <c r="S21" s="12">
        <v>6283.06</v>
      </c>
      <c r="T21" s="12">
        <v>69.11</v>
      </c>
      <c r="U21" s="12">
        <v>47.5</v>
      </c>
      <c r="V21" s="12">
        <v>0</v>
      </c>
    </row>
    <row r="22" spans="1:22" x14ac:dyDescent="0.25">
      <c r="A22" s="12">
        <v>2024</v>
      </c>
      <c r="B22" s="12" t="s">
        <v>333</v>
      </c>
      <c r="C22" s="12" t="s">
        <v>118</v>
      </c>
      <c r="D22" s="12" t="s">
        <v>119</v>
      </c>
      <c r="E22" s="12" t="s">
        <v>120</v>
      </c>
      <c r="F22" s="12" t="s">
        <v>356</v>
      </c>
      <c r="G22" s="12">
        <v>206</v>
      </c>
      <c r="H22" s="12">
        <v>6</v>
      </c>
      <c r="I22" s="12">
        <v>2</v>
      </c>
      <c r="J22" s="12">
        <v>2</v>
      </c>
      <c r="K22" s="12">
        <v>15</v>
      </c>
      <c r="L22" s="13" t="s">
        <v>336</v>
      </c>
      <c r="M22" s="13" t="s">
        <v>53</v>
      </c>
      <c r="N22" s="12">
        <v>10.36</v>
      </c>
      <c r="O22" s="12">
        <v>13.6</v>
      </c>
      <c r="P22" s="12">
        <v>42.4</v>
      </c>
      <c r="Q22" s="26">
        <f t="shared" si="0"/>
        <v>10.171636363636363</v>
      </c>
      <c r="R22" s="12">
        <v>6659.63</v>
      </c>
      <c r="S22" s="12">
        <v>5940.79</v>
      </c>
      <c r="T22" s="12">
        <v>69.62</v>
      </c>
      <c r="U22" s="12">
        <v>47.79</v>
      </c>
      <c r="V22" s="12">
        <v>0</v>
      </c>
    </row>
    <row r="23" spans="1:22" x14ac:dyDescent="0.25">
      <c r="A23" s="12">
        <v>2024</v>
      </c>
      <c r="B23" s="12" t="s">
        <v>333</v>
      </c>
      <c r="C23" s="12" t="s">
        <v>118</v>
      </c>
      <c r="D23" s="12" t="s">
        <v>119</v>
      </c>
      <c r="E23" s="12" t="s">
        <v>120</v>
      </c>
      <c r="F23" s="12" t="s">
        <v>357</v>
      </c>
      <c r="G23" s="12">
        <v>207</v>
      </c>
      <c r="H23" s="12">
        <v>7</v>
      </c>
      <c r="I23" s="12">
        <v>2</v>
      </c>
      <c r="J23" s="12">
        <v>2</v>
      </c>
      <c r="K23" s="12">
        <v>2</v>
      </c>
      <c r="L23" s="13" t="s">
        <v>100</v>
      </c>
      <c r="M23" s="13" t="s">
        <v>30</v>
      </c>
      <c r="N23" s="12">
        <v>10.35</v>
      </c>
      <c r="O23" s="12">
        <v>13.8</v>
      </c>
      <c r="P23" s="12">
        <v>42.5</v>
      </c>
      <c r="Q23" s="26">
        <f t="shared" si="0"/>
        <v>10.138295454545453</v>
      </c>
      <c r="R23" s="12">
        <v>6637.8</v>
      </c>
      <c r="S23" s="12">
        <v>5921.32</v>
      </c>
      <c r="T23" s="12">
        <v>67.02</v>
      </c>
      <c r="U23" s="12">
        <v>44.58</v>
      </c>
      <c r="V23" s="12">
        <v>1</v>
      </c>
    </row>
    <row r="24" spans="1:22" x14ac:dyDescent="0.25">
      <c r="A24" s="12">
        <v>2024</v>
      </c>
      <c r="B24" s="12" t="s">
        <v>333</v>
      </c>
      <c r="C24" s="12" t="s">
        <v>118</v>
      </c>
      <c r="D24" s="12" t="s">
        <v>119</v>
      </c>
      <c r="E24" s="12" t="s">
        <v>120</v>
      </c>
      <c r="F24" s="12" t="s">
        <v>358</v>
      </c>
      <c r="G24" s="12">
        <v>208</v>
      </c>
      <c r="H24" s="12">
        <v>8</v>
      </c>
      <c r="I24" s="12">
        <v>2</v>
      </c>
      <c r="J24" s="12">
        <v>2</v>
      </c>
      <c r="K24" s="12">
        <v>11</v>
      </c>
      <c r="L24" s="13" t="s">
        <v>27</v>
      </c>
      <c r="M24" s="13" t="s">
        <v>30</v>
      </c>
      <c r="N24" s="12">
        <v>10.88</v>
      </c>
      <c r="O24" s="12">
        <v>16.8</v>
      </c>
      <c r="P24" s="12">
        <v>41.6</v>
      </c>
      <c r="Q24" s="26">
        <f t="shared" si="0"/>
        <v>10.286545454545456</v>
      </c>
      <c r="R24" s="12">
        <v>6734.86</v>
      </c>
      <c r="S24" s="12">
        <v>6007.91</v>
      </c>
      <c r="T24" s="12">
        <v>72.27</v>
      </c>
      <c r="U24" s="12">
        <v>60.04</v>
      </c>
      <c r="V24" s="12">
        <v>1</v>
      </c>
    </row>
    <row r="25" spans="1:22" x14ac:dyDescent="0.25">
      <c r="A25" s="12">
        <v>2024</v>
      </c>
      <c r="B25" s="12" t="s">
        <v>333</v>
      </c>
      <c r="C25" s="12" t="s">
        <v>118</v>
      </c>
      <c r="D25" s="12" t="s">
        <v>119</v>
      </c>
      <c r="E25" s="12" t="s">
        <v>120</v>
      </c>
      <c r="F25" s="12" t="s">
        <v>359</v>
      </c>
      <c r="G25" s="12">
        <v>209</v>
      </c>
      <c r="H25" s="12">
        <v>9</v>
      </c>
      <c r="I25" s="12">
        <v>2</v>
      </c>
      <c r="J25" s="12">
        <v>2</v>
      </c>
      <c r="K25" s="12">
        <v>5</v>
      </c>
      <c r="L25" s="13" t="s">
        <v>339</v>
      </c>
      <c r="M25" s="13" t="s">
        <v>30</v>
      </c>
      <c r="N25" s="12">
        <v>10.98</v>
      </c>
      <c r="O25" s="12">
        <v>20.5</v>
      </c>
      <c r="P25" s="12">
        <v>41.2</v>
      </c>
      <c r="Q25" s="26">
        <f t="shared" si="0"/>
        <v>9.9194318181818186</v>
      </c>
      <c r="R25" s="12">
        <v>6494.5</v>
      </c>
      <c r="S25" s="12">
        <v>5793.49</v>
      </c>
      <c r="T25" s="12">
        <v>66.94</v>
      </c>
      <c r="U25" s="12">
        <v>59.42</v>
      </c>
      <c r="V25" s="12">
        <v>1</v>
      </c>
    </row>
    <row r="26" spans="1:22" x14ac:dyDescent="0.25">
      <c r="A26" s="12">
        <v>2024</v>
      </c>
      <c r="B26" s="12" t="s">
        <v>333</v>
      </c>
      <c r="C26" s="12" t="s">
        <v>118</v>
      </c>
      <c r="D26" s="12" t="s">
        <v>119</v>
      </c>
      <c r="E26" s="12" t="s">
        <v>120</v>
      </c>
      <c r="F26" s="12" t="s">
        <v>360</v>
      </c>
      <c r="G26" s="12">
        <v>210</v>
      </c>
      <c r="H26" s="12">
        <v>10</v>
      </c>
      <c r="I26" s="12">
        <v>2</v>
      </c>
      <c r="J26" s="12">
        <v>2</v>
      </c>
      <c r="K26" s="12">
        <v>18</v>
      </c>
      <c r="L26" s="13" t="s">
        <v>42</v>
      </c>
      <c r="M26" s="13" t="s">
        <v>53</v>
      </c>
      <c r="N26" s="12">
        <v>11.43</v>
      </c>
      <c r="O26" s="12">
        <v>14.4</v>
      </c>
      <c r="P26" s="12">
        <v>42.4</v>
      </c>
      <c r="Q26" s="26">
        <f t="shared" si="0"/>
        <v>11.118272727272727</v>
      </c>
      <c r="R26" s="12">
        <v>7279.42</v>
      </c>
      <c r="S26" s="12">
        <v>6493.68</v>
      </c>
      <c r="T26" s="12">
        <v>69.89</v>
      </c>
      <c r="U26" s="12">
        <v>58.97</v>
      </c>
      <c r="V26" s="12">
        <v>0</v>
      </c>
    </row>
    <row r="27" spans="1:22" x14ac:dyDescent="0.25">
      <c r="A27" s="12">
        <v>2024</v>
      </c>
      <c r="B27" s="12" t="s">
        <v>333</v>
      </c>
      <c r="C27" s="12" t="s">
        <v>118</v>
      </c>
      <c r="D27" s="12" t="s">
        <v>119</v>
      </c>
      <c r="E27" s="12" t="s">
        <v>120</v>
      </c>
      <c r="F27" s="12" t="s">
        <v>361</v>
      </c>
      <c r="G27" s="12">
        <v>211</v>
      </c>
      <c r="H27" s="12">
        <v>11</v>
      </c>
      <c r="I27" s="12">
        <v>2</v>
      </c>
      <c r="J27" s="12">
        <v>3</v>
      </c>
      <c r="K27" s="12">
        <v>9</v>
      </c>
      <c r="L27" s="13" t="s">
        <v>69</v>
      </c>
      <c r="M27" s="13" t="s">
        <v>53</v>
      </c>
      <c r="N27" s="12">
        <v>10.83</v>
      </c>
      <c r="O27" s="12">
        <v>12.9</v>
      </c>
      <c r="P27" s="12">
        <v>43</v>
      </c>
      <c r="Q27" s="26">
        <f t="shared" si="0"/>
        <v>10.719238636363636</v>
      </c>
      <c r="R27" s="12">
        <v>7018.16</v>
      </c>
      <c r="S27" s="12">
        <v>6260.62</v>
      </c>
      <c r="T27" s="12">
        <v>70.58</v>
      </c>
      <c r="U27" s="12">
        <v>54.73</v>
      </c>
      <c r="V27" s="12">
        <v>1</v>
      </c>
    </row>
    <row r="28" spans="1:22" x14ac:dyDescent="0.25">
      <c r="A28" s="12">
        <v>2024</v>
      </c>
      <c r="B28" s="12" t="s">
        <v>333</v>
      </c>
      <c r="C28" s="12" t="s">
        <v>118</v>
      </c>
      <c r="D28" s="12" t="s">
        <v>119</v>
      </c>
      <c r="E28" s="12" t="s">
        <v>120</v>
      </c>
      <c r="F28" s="12" t="s">
        <v>362</v>
      </c>
      <c r="G28" s="12">
        <v>212</v>
      </c>
      <c r="H28" s="12">
        <v>12</v>
      </c>
      <c r="I28" s="12">
        <v>2</v>
      </c>
      <c r="J28" s="12">
        <v>3</v>
      </c>
      <c r="K28" s="12">
        <v>13</v>
      </c>
      <c r="L28" s="13" t="s">
        <v>336</v>
      </c>
      <c r="M28" s="13" t="s">
        <v>538</v>
      </c>
      <c r="N28" s="12">
        <v>10</v>
      </c>
      <c r="O28" s="12">
        <v>11.7</v>
      </c>
      <c r="P28" s="12">
        <v>43.2</v>
      </c>
      <c r="Q28" s="26">
        <f t="shared" si="0"/>
        <v>10.034090909090908</v>
      </c>
      <c r="R28" s="12">
        <v>6569.57</v>
      </c>
      <c r="S28" s="12">
        <v>5860.46</v>
      </c>
      <c r="T28" s="12">
        <v>69.41</v>
      </c>
      <c r="U28" s="12">
        <v>43.68</v>
      </c>
      <c r="V28" s="12">
        <v>0</v>
      </c>
    </row>
    <row r="29" spans="1:22" x14ac:dyDescent="0.25">
      <c r="A29" s="12">
        <v>2024</v>
      </c>
      <c r="B29" s="12" t="s">
        <v>333</v>
      </c>
      <c r="C29" s="12" t="s">
        <v>118</v>
      </c>
      <c r="D29" s="12" t="s">
        <v>119</v>
      </c>
      <c r="E29" s="12" t="s">
        <v>120</v>
      </c>
      <c r="F29" s="12" t="s">
        <v>363</v>
      </c>
      <c r="G29" s="12">
        <v>213</v>
      </c>
      <c r="H29" s="12">
        <v>13</v>
      </c>
      <c r="I29" s="12">
        <v>2</v>
      </c>
      <c r="J29" s="12">
        <v>3</v>
      </c>
      <c r="K29" s="12">
        <v>7</v>
      </c>
      <c r="L29" s="13" t="s">
        <v>69</v>
      </c>
      <c r="M29" s="13" t="s">
        <v>538</v>
      </c>
      <c r="N29" s="12">
        <v>11.15</v>
      </c>
      <c r="O29" s="12">
        <v>12</v>
      </c>
      <c r="P29" s="12">
        <v>43.4</v>
      </c>
      <c r="Q29" s="26">
        <f t="shared" si="0"/>
        <v>11.150000000000002</v>
      </c>
      <c r="R29" s="12">
        <v>7300.19</v>
      </c>
      <c r="S29" s="12">
        <v>6512.21</v>
      </c>
      <c r="T29" s="12">
        <v>69.95</v>
      </c>
      <c r="U29" s="12">
        <v>51.77</v>
      </c>
      <c r="V29" s="12">
        <v>1</v>
      </c>
    </row>
    <row r="30" spans="1:22" x14ac:dyDescent="0.25">
      <c r="A30" s="12">
        <v>2024</v>
      </c>
      <c r="B30" s="12" t="s">
        <v>333</v>
      </c>
      <c r="C30" s="12" t="s">
        <v>118</v>
      </c>
      <c r="D30" s="12" t="s">
        <v>119</v>
      </c>
      <c r="E30" s="12" t="s">
        <v>120</v>
      </c>
      <c r="F30" s="12" t="s">
        <v>364</v>
      </c>
      <c r="G30" s="12">
        <v>214</v>
      </c>
      <c r="H30" s="12">
        <v>14</v>
      </c>
      <c r="I30" s="12">
        <v>2</v>
      </c>
      <c r="J30" s="12">
        <v>3</v>
      </c>
      <c r="K30" s="12">
        <v>16</v>
      </c>
      <c r="L30" s="13" t="s">
        <v>42</v>
      </c>
      <c r="M30" s="13" t="s">
        <v>538</v>
      </c>
      <c r="N30" s="12">
        <v>9.85</v>
      </c>
      <c r="O30" s="12">
        <v>13.6</v>
      </c>
      <c r="P30" s="12">
        <v>42.5</v>
      </c>
      <c r="Q30" s="26">
        <f t="shared" si="0"/>
        <v>9.67090909090909</v>
      </c>
      <c r="R30" s="12">
        <v>6331.79</v>
      </c>
      <c r="S30" s="12">
        <v>5648.34</v>
      </c>
      <c r="T30" s="12">
        <v>71.150000000000006</v>
      </c>
      <c r="U30" s="12">
        <v>59.25</v>
      </c>
      <c r="V30" s="12">
        <v>1</v>
      </c>
    </row>
    <row r="31" spans="1:22" x14ac:dyDescent="0.25">
      <c r="A31" s="12">
        <v>2024</v>
      </c>
      <c r="B31" s="12" t="s">
        <v>333</v>
      </c>
      <c r="C31" s="12" t="s">
        <v>118</v>
      </c>
      <c r="D31" s="12" t="s">
        <v>119</v>
      </c>
      <c r="E31" s="12" t="s">
        <v>120</v>
      </c>
      <c r="F31" s="12" t="s">
        <v>365</v>
      </c>
      <c r="G31" s="12">
        <v>215</v>
      </c>
      <c r="H31" s="12">
        <v>15</v>
      </c>
      <c r="I31" s="12">
        <v>2</v>
      </c>
      <c r="J31" s="12">
        <v>3</v>
      </c>
      <c r="K31" s="12">
        <v>15</v>
      </c>
      <c r="L31" s="13" t="s">
        <v>336</v>
      </c>
      <c r="M31" s="13" t="s">
        <v>53</v>
      </c>
      <c r="N31" s="12">
        <v>9.42</v>
      </c>
      <c r="O31" s="12">
        <v>13.6</v>
      </c>
      <c r="P31" s="12">
        <v>42.3</v>
      </c>
      <c r="Q31" s="26">
        <f t="shared" si="0"/>
        <v>9.2487272727272725</v>
      </c>
      <c r="R31" s="12">
        <v>6055.38</v>
      </c>
      <c r="S31" s="12">
        <v>5401.76</v>
      </c>
      <c r="T31" s="12">
        <v>69.569999999999993</v>
      </c>
      <c r="U31" s="12">
        <v>46.25</v>
      </c>
      <c r="V31" s="12">
        <v>0</v>
      </c>
    </row>
    <row r="32" spans="1:22" x14ac:dyDescent="0.25">
      <c r="A32" s="12">
        <v>2024</v>
      </c>
      <c r="B32" s="12" t="s">
        <v>333</v>
      </c>
      <c r="C32" s="12" t="s">
        <v>118</v>
      </c>
      <c r="D32" s="12" t="s">
        <v>119</v>
      </c>
      <c r="E32" s="12" t="s">
        <v>120</v>
      </c>
      <c r="F32" s="12" t="s">
        <v>366</v>
      </c>
      <c r="G32" s="12">
        <v>301</v>
      </c>
      <c r="H32" s="12">
        <v>1</v>
      </c>
      <c r="I32" s="12">
        <v>3</v>
      </c>
      <c r="J32" s="12">
        <v>1</v>
      </c>
      <c r="K32" s="12">
        <v>4</v>
      </c>
      <c r="L32" s="13" t="s">
        <v>339</v>
      </c>
      <c r="M32" s="13" t="s">
        <v>538</v>
      </c>
      <c r="N32" s="12">
        <v>10.62</v>
      </c>
      <c r="O32" s="12">
        <v>22.5</v>
      </c>
      <c r="P32" s="12">
        <v>40.5</v>
      </c>
      <c r="Q32" s="26">
        <f t="shared" si="0"/>
        <v>9.3528409090909079</v>
      </c>
      <c r="R32" s="12">
        <v>6123.54</v>
      </c>
      <c r="S32" s="12">
        <v>5462.57</v>
      </c>
      <c r="T32" s="12">
        <v>67.58</v>
      </c>
      <c r="U32" s="12">
        <v>60.94</v>
      </c>
      <c r="V32" s="12">
        <v>1</v>
      </c>
    </row>
    <row r="33" spans="1:22" x14ac:dyDescent="0.25">
      <c r="A33" s="12">
        <v>2024</v>
      </c>
      <c r="B33" s="12" t="s">
        <v>333</v>
      </c>
      <c r="C33" s="12" t="s">
        <v>118</v>
      </c>
      <c r="D33" s="12" t="s">
        <v>119</v>
      </c>
      <c r="E33" s="12" t="s">
        <v>120</v>
      </c>
      <c r="F33" s="12" t="s">
        <v>367</v>
      </c>
      <c r="G33" s="12">
        <v>302</v>
      </c>
      <c r="H33" s="12">
        <v>2</v>
      </c>
      <c r="I33" s="12">
        <v>3</v>
      </c>
      <c r="J33" s="12">
        <v>1</v>
      </c>
      <c r="K33" s="12">
        <v>1</v>
      </c>
      <c r="L33" s="13" t="s">
        <v>100</v>
      </c>
      <c r="M33" s="13" t="s">
        <v>538</v>
      </c>
      <c r="N33" s="12">
        <v>11.49</v>
      </c>
      <c r="O33" s="12">
        <v>15.7</v>
      </c>
      <c r="P33" s="12">
        <v>41.9</v>
      </c>
      <c r="Q33" s="26">
        <f t="shared" si="0"/>
        <v>11.006897727272726</v>
      </c>
      <c r="R33" s="12">
        <v>7206.5</v>
      </c>
      <c r="S33" s="12">
        <v>6428.63</v>
      </c>
      <c r="T33" s="12">
        <v>67.97</v>
      </c>
      <c r="U33" s="12">
        <v>50.33</v>
      </c>
      <c r="V33" s="12">
        <v>1</v>
      </c>
    </row>
    <row r="34" spans="1:22" x14ac:dyDescent="0.25">
      <c r="A34" s="12">
        <v>2024</v>
      </c>
      <c r="B34" s="12" t="s">
        <v>333</v>
      </c>
      <c r="C34" s="12" t="s">
        <v>118</v>
      </c>
      <c r="D34" s="12" t="s">
        <v>119</v>
      </c>
      <c r="E34" s="12" t="s">
        <v>120</v>
      </c>
      <c r="F34" s="12" t="s">
        <v>368</v>
      </c>
      <c r="G34" s="12">
        <v>303</v>
      </c>
      <c r="H34" s="12">
        <v>3</v>
      </c>
      <c r="I34" s="12">
        <v>3</v>
      </c>
      <c r="J34" s="12">
        <v>1</v>
      </c>
      <c r="K34" s="12">
        <v>11</v>
      </c>
      <c r="L34" s="13" t="s">
        <v>27</v>
      </c>
      <c r="M34" s="13" t="s">
        <v>30</v>
      </c>
      <c r="N34" s="12">
        <v>11.75</v>
      </c>
      <c r="O34" s="12">
        <v>17.5</v>
      </c>
      <c r="P34" s="12">
        <v>41.4</v>
      </c>
      <c r="Q34" s="26">
        <f t="shared" si="0"/>
        <v>11.015625</v>
      </c>
      <c r="R34" s="12">
        <v>7212.21</v>
      </c>
      <c r="S34" s="12">
        <v>6433.73</v>
      </c>
      <c r="T34" s="12">
        <v>71.03</v>
      </c>
      <c r="U34" s="12">
        <v>59.31</v>
      </c>
      <c r="V34" s="12">
        <v>1</v>
      </c>
    </row>
    <row r="35" spans="1:22" x14ac:dyDescent="0.25">
      <c r="A35" s="12">
        <v>2024</v>
      </c>
      <c r="B35" s="12" t="s">
        <v>333</v>
      </c>
      <c r="C35" s="12" t="s">
        <v>118</v>
      </c>
      <c r="D35" s="12" t="s">
        <v>119</v>
      </c>
      <c r="E35" s="12" t="s">
        <v>120</v>
      </c>
      <c r="F35" s="12" t="s">
        <v>369</v>
      </c>
      <c r="G35" s="12">
        <v>304</v>
      </c>
      <c r="H35" s="12">
        <v>4</v>
      </c>
      <c r="I35" s="12">
        <v>3</v>
      </c>
      <c r="J35" s="12">
        <v>1</v>
      </c>
      <c r="K35" s="12">
        <v>3</v>
      </c>
      <c r="L35" s="13" t="s">
        <v>100</v>
      </c>
      <c r="M35" s="13" t="s">
        <v>53</v>
      </c>
      <c r="N35" s="12">
        <v>10.99</v>
      </c>
      <c r="O35" s="12">
        <v>15.8</v>
      </c>
      <c r="P35" s="12">
        <v>41.9</v>
      </c>
      <c r="Q35" s="26">
        <f t="shared" si="0"/>
        <v>10.515431818181817</v>
      </c>
      <c r="R35" s="12">
        <v>6884.72</v>
      </c>
      <c r="S35" s="12">
        <v>6141.59</v>
      </c>
      <c r="T35" s="12" t="s">
        <v>28</v>
      </c>
      <c r="U35" s="12" t="s">
        <v>28</v>
      </c>
      <c r="V35" s="12">
        <v>1</v>
      </c>
    </row>
    <row r="36" spans="1:22" x14ac:dyDescent="0.25">
      <c r="A36" s="12">
        <v>2024</v>
      </c>
      <c r="B36" s="12" t="s">
        <v>333</v>
      </c>
      <c r="C36" s="12" t="s">
        <v>118</v>
      </c>
      <c r="D36" s="12" t="s">
        <v>119</v>
      </c>
      <c r="E36" s="12" t="s">
        <v>120</v>
      </c>
      <c r="F36" s="12" t="s">
        <v>370</v>
      </c>
      <c r="G36" s="12">
        <v>305</v>
      </c>
      <c r="H36" s="12">
        <v>5</v>
      </c>
      <c r="I36" s="12">
        <v>3</v>
      </c>
      <c r="J36" s="12">
        <v>1</v>
      </c>
      <c r="K36" s="12">
        <v>16</v>
      </c>
      <c r="L36" s="13" t="s">
        <v>42</v>
      </c>
      <c r="M36" s="13" t="s">
        <v>538</v>
      </c>
      <c r="N36" s="12">
        <v>11.56</v>
      </c>
      <c r="O36" s="12">
        <v>15.1</v>
      </c>
      <c r="P36" s="12">
        <v>42</v>
      </c>
      <c r="Q36" s="26">
        <f t="shared" si="0"/>
        <v>11.152772727272726</v>
      </c>
      <c r="R36" s="12">
        <v>7302</v>
      </c>
      <c r="S36" s="12">
        <v>6513.83</v>
      </c>
      <c r="T36" s="12">
        <v>70.36</v>
      </c>
      <c r="U36" s="12">
        <v>58.09</v>
      </c>
      <c r="V36" s="12">
        <v>0</v>
      </c>
    </row>
    <row r="37" spans="1:22" x14ac:dyDescent="0.25">
      <c r="A37" s="12">
        <v>2024</v>
      </c>
      <c r="B37" s="12" t="s">
        <v>333</v>
      </c>
      <c r="C37" s="12" t="s">
        <v>118</v>
      </c>
      <c r="D37" s="12" t="s">
        <v>119</v>
      </c>
      <c r="E37" s="12" t="s">
        <v>120</v>
      </c>
      <c r="F37" s="12" t="s">
        <v>371</v>
      </c>
      <c r="G37" s="12">
        <v>306</v>
      </c>
      <c r="H37" s="12">
        <v>6</v>
      </c>
      <c r="I37" s="12">
        <v>3</v>
      </c>
      <c r="J37" s="12">
        <v>2</v>
      </c>
      <c r="K37" s="12">
        <v>7</v>
      </c>
      <c r="L37" s="13" t="s">
        <v>69</v>
      </c>
      <c r="M37" s="13" t="s">
        <v>538</v>
      </c>
      <c r="N37" s="12">
        <v>12.73</v>
      </c>
      <c r="O37" s="12">
        <v>14.3</v>
      </c>
      <c r="P37" s="12">
        <v>42.3</v>
      </c>
      <c r="Q37" s="26">
        <f t="shared" si="0"/>
        <v>12.397284090909091</v>
      </c>
      <c r="R37" s="12">
        <v>8116.82</v>
      </c>
      <c r="S37" s="12">
        <v>7240.69</v>
      </c>
      <c r="T37" s="12">
        <v>70.86</v>
      </c>
      <c r="U37" s="12">
        <v>55.22</v>
      </c>
      <c r="V37" s="12">
        <v>1</v>
      </c>
    </row>
    <row r="38" spans="1:22" x14ac:dyDescent="0.25">
      <c r="A38" s="12">
        <v>2024</v>
      </c>
      <c r="B38" s="12" t="s">
        <v>333</v>
      </c>
      <c r="C38" s="12" t="s">
        <v>118</v>
      </c>
      <c r="D38" s="12" t="s">
        <v>119</v>
      </c>
      <c r="E38" s="12" t="s">
        <v>120</v>
      </c>
      <c r="F38" s="12" t="s">
        <v>372</v>
      </c>
      <c r="G38" s="12">
        <v>307</v>
      </c>
      <c r="H38" s="12">
        <v>7</v>
      </c>
      <c r="I38" s="12">
        <v>3</v>
      </c>
      <c r="J38" s="12">
        <v>2</v>
      </c>
      <c r="K38" s="12">
        <v>16</v>
      </c>
      <c r="L38" s="13" t="s">
        <v>42</v>
      </c>
      <c r="M38" s="13" t="s">
        <v>538</v>
      </c>
      <c r="N38" s="12">
        <v>11.14</v>
      </c>
      <c r="O38" s="12">
        <v>14.7</v>
      </c>
      <c r="P38" s="12">
        <v>42.2</v>
      </c>
      <c r="Q38" s="26">
        <f t="shared" si="0"/>
        <v>10.798204545454546</v>
      </c>
      <c r="R38" s="12">
        <v>7069.86</v>
      </c>
      <c r="S38" s="12">
        <v>6306.74</v>
      </c>
      <c r="T38" s="12">
        <v>70.930000000000007</v>
      </c>
      <c r="U38" s="12">
        <v>60.27</v>
      </c>
      <c r="V38" s="12">
        <v>1</v>
      </c>
    </row>
    <row r="39" spans="1:22" x14ac:dyDescent="0.25">
      <c r="A39" s="12">
        <v>2024</v>
      </c>
      <c r="B39" s="12" t="s">
        <v>333</v>
      </c>
      <c r="C39" s="12" t="s">
        <v>118</v>
      </c>
      <c r="D39" s="12" t="s">
        <v>119</v>
      </c>
      <c r="E39" s="12" t="s">
        <v>120</v>
      </c>
      <c r="F39" s="12" t="s">
        <v>373</v>
      </c>
      <c r="G39" s="12">
        <v>308</v>
      </c>
      <c r="H39" s="12">
        <v>8</v>
      </c>
      <c r="I39" s="12">
        <v>3</v>
      </c>
      <c r="J39" s="12">
        <v>2</v>
      </c>
      <c r="K39" s="12">
        <v>4</v>
      </c>
      <c r="L39" s="13" t="s">
        <v>339</v>
      </c>
      <c r="M39" s="13" t="s">
        <v>538</v>
      </c>
      <c r="N39" s="12">
        <v>11.51</v>
      </c>
      <c r="O39" s="12">
        <v>21.2</v>
      </c>
      <c r="P39" s="12">
        <v>41.1</v>
      </c>
      <c r="Q39" s="26">
        <f t="shared" si="0"/>
        <v>10.306681818181817</v>
      </c>
      <c r="R39" s="12">
        <v>6748.05</v>
      </c>
      <c r="S39" s="12">
        <v>6019.67</v>
      </c>
      <c r="T39" s="12">
        <v>67.3</v>
      </c>
      <c r="U39" s="12">
        <v>61.34</v>
      </c>
      <c r="V39" s="12">
        <v>1</v>
      </c>
    </row>
    <row r="40" spans="1:22" x14ac:dyDescent="0.25">
      <c r="A40" s="12">
        <v>2024</v>
      </c>
      <c r="B40" s="12" t="s">
        <v>333</v>
      </c>
      <c r="C40" s="12" t="s">
        <v>118</v>
      </c>
      <c r="D40" s="12" t="s">
        <v>119</v>
      </c>
      <c r="E40" s="12" t="s">
        <v>120</v>
      </c>
      <c r="F40" s="12" t="s">
        <v>374</v>
      </c>
      <c r="G40" s="12">
        <v>309</v>
      </c>
      <c r="H40" s="12">
        <v>9</v>
      </c>
      <c r="I40" s="12">
        <v>3</v>
      </c>
      <c r="J40" s="12">
        <v>2</v>
      </c>
      <c r="K40" s="12">
        <v>8</v>
      </c>
      <c r="L40" s="13" t="s">
        <v>69</v>
      </c>
      <c r="M40" s="13" t="s">
        <v>30</v>
      </c>
      <c r="N40" s="12">
        <v>11.85</v>
      </c>
      <c r="O40" s="12">
        <v>12.8</v>
      </c>
      <c r="P40" s="12">
        <v>43.1</v>
      </c>
      <c r="Q40" s="26">
        <f t="shared" si="0"/>
        <v>11.742272727272727</v>
      </c>
      <c r="R40" s="12">
        <v>7687.96</v>
      </c>
      <c r="S40" s="12">
        <v>6858.13</v>
      </c>
      <c r="T40" s="12">
        <v>71.09</v>
      </c>
      <c r="U40" s="12">
        <v>56.02</v>
      </c>
      <c r="V40" s="12">
        <v>1</v>
      </c>
    </row>
    <row r="41" spans="1:22" x14ac:dyDescent="0.25">
      <c r="A41" s="12">
        <v>2024</v>
      </c>
      <c r="B41" s="12" t="s">
        <v>333</v>
      </c>
      <c r="C41" s="12" t="s">
        <v>118</v>
      </c>
      <c r="D41" s="12" t="s">
        <v>119</v>
      </c>
      <c r="E41" s="12" t="s">
        <v>120</v>
      </c>
      <c r="F41" s="12" t="s">
        <v>375</v>
      </c>
      <c r="G41" s="12">
        <v>310</v>
      </c>
      <c r="H41" s="12">
        <v>10</v>
      </c>
      <c r="I41" s="12">
        <v>3</v>
      </c>
      <c r="J41" s="12">
        <v>2</v>
      </c>
      <c r="K41" s="12">
        <v>3</v>
      </c>
      <c r="L41" s="13" t="s">
        <v>100</v>
      </c>
      <c r="M41" s="13" t="s">
        <v>53</v>
      </c>
      <c r="N41" s="12">
        <v>11.37</v>
      </c>
      <c r="O41" s="12">
        <v>14</v>
      </c>
      <c r="P41" s="12">
        <v>42.5</v>
      </c>
      <c r="Q41" s="26">
        <f t="shared" si="0"/>
        <v>11.111590909090909</v>
      </c>
      <c r="R41" s="12">
        <v>7275.04</v>
      </c>
      <c r="S41" s="12">
        <v>6489.78</v>
      </c>
      <c r="T41" s="12">
        <v>67.650000000000006</v>
      </c>
      <c r="U41" s="12">
        <v>47.01</v>
      </c>
      <c r="V41" s="12">
        <v>1</v>
      </c>
    </row>
    <row r="42" spans="1:22" x14ac:dyDescent="0.25">
      <c r="A42" s="12">
        <v>2024</v>
      </c>
      <c r="B42" s="12" t="s">
        <v>333</v>
      </c>
      <c r="C42" s="12" t="s">
        <v>118</v>
      </c>
      <c r="D42" s="12" t="s">
        <v>119</v>
      </c>
      <c r="E42" s="12" t="s">
        <v>120</v>
      </c>
      <c r="F42" s="12" t="s">
        <v>376</v>
      </c>
      <c r="G42" s="12">
        <v>311</v>
      </c>
      <c r="H42" s="12">
        <v>11</v>
      </c>
      <c r="I42" s="12">
        <v>3</v>
      </c>
      <c r="J42" s="12">
        <v>3</v>
      </c>
      <c r="K42" s="12">
        <v>14</v>
      </c>
      <c r="L42" s="13" t="s">
        <v>336</v>
      </c>
      <c r="M42" s="13" t="s">
        <v>30</v>
      </c>
      <c r="N42" s="12">
        <v>10.57</v>
      </c>
      <c r="O42" s="12">
        <v>13.5</v>
      </c>
      <c r="P42" s="12">
        <v>42.5</v>
      </c>
      <c r="Q42" s="26">
        <f t="shared" si="0"/>
        <v>10.389829545454546</v>
      </c>
      <c r="R42" s="12">
        <v>6802.49</v>
      </c>
      <c r="S42" s="12">
        <v>6068.23</v>
      </c>
      <c r="T42" s="12">
        <v>70.11</v>
      </c>
      <c r="U42" s="12">
        <v>48.68</v>
      </c>
      <c r="V42" s="12">
        <v>1</v>
      </c>
    </row>
    <row r="43" spans="1:22" x14ac:dyDescent="0.25">
      <c r="A43" s="12">
        <v>2024</v>
      </c>
      <c r="B43" s="12" t="s">
        <v>333</v>
      </c>
      <c r="C43" s="12" t="s">
        <v>118</v>
      </c>
      <c r="D43" s="12" t="s">
        <v>119</v>
      </c>
      <c r="E43" s="12" t="s">
        <v>120</v>
      </c>
      <c r="F43" s="12" t="s">
        <v>377</v>
      </c>
      <c r="G43" s="12">
        <v>312</v>
      </c>
      <c r="H43" s="12">
        <v>12</v>
      </c>
      <c r="I43" s="12">
        <v>3</v>
      </c>
      <c r="J43" s="12">
        <v>3</v>
      </c>
      <c r="K43" s="12">
        <v>8</v>
      </c>
      <c r="L43" s="13" t="s">
        <v>69</v>
      </c>
      <c r="M43" s="13" t="s">
        <v>30</v>
      </c>
      <c r="N43" s="12">
        <v>12.3</v>
      </c>
      <c r="O43" s="12">
        <v>11.7</v>
      </c>
      <c r="P43" s="12">
        <v>43.5</v>
      </c>
      <c r="Q43" s="26">
        <f t="shared" si="0"/>
        <v>12.34193181818182</v>
      </c>
      <c r="R43" s="12">
        <v>8080.58</v>
      </c>
      <c r="S43" s="12">
        <v>7208.36</v>
      </c>
      <c r="T43" s="12">
        <v>71.38</v>
      </c>
      <c r="U43" s="12">
        <v>56.61</v>
      </c>
      <c r="V43" s="12">
        <v>1</v>
      </c>
    </row>
    <row r="44" spans="1:22" x14ac:dyDescent="0.25">
      <c r="A44" s="12">
        <v>2024</v>
      </c>
      <c r="B44" s="12" t="s">
        <v>333</v>
      </c>
      <c r="C44" s="12" t="s">
        <v>118</v>
      </c>
      <c r="D44" s="12" t="s">
        <v>119</v>
      </c>
      <c r="E44" s="12" t="s">
        <v>120</v>
      </c>
      <c r="F44" s="12" t="s">
        <v>378</v>
      </c>
      <c r="G44" s="12">
        <v>313</v>
      </c>
      <c r="H44" s="12">
        <v>13</v>
      </c>
      <c r="I44" s="12">
        <v>3</v>
      </c>
      <c r="J44" s="12">
        <v>3</v>
      </c>
      <c r="K44" s="12">
        <v>11</v>
      </c>
      <c r="L44" s="13" t="s">
        <v>27</v>
      </c>
      <c r="M44" s="13" t="s">
        <v>30</v>
      </c>
      <c r="N44" s="12">
        <v>10.7</v>
      </c>
      <c r="O44" s="12">
        <v>14.2</v>
      </c>
      <c r="P44" s="12">
        <v>42.6</v>
      </c>
      <c r="Q44" s="26">
        <f t="shared" si="0"/>
        <v>10.432499999999999</v>
      </c>
      <c r="R44" s="12">
        <v>6830.42</v>
      </c>
      <c r="S44" s="12">
        <v>6093.15</v>
      </c>
      <c r="T44" s="12">
        <v>72.510000000000005</v>
      </c>
      <c r="U44" s="12">
        <v>59.61</v>
      </c>
      <c r="V44" s="12">
        <v>1</v>
      </c>
    </row>
    <row r="45" spans="1:22" x14ac:dyDescent="0.25">
      <c r="A45" s="12">
        <v>2024</v>
      </c>
      <c r="B45" s="12" t="s">
        <v>333</v>
      </c>
      <c r="C45" s="12" t="s">
        <v>118</v>
      </c>
      <c r="D45" s="12" t="s">
        <v>119</v>
      </c>
      <c r="E45" s="12" t="s">
        <v>120</v>
      </c>
      <c r="F45" s="12" t="s">
        <v>379</v>
      </c>
      <c r="G45" s="12">
        <v>314</v>
      </c>
      <c r="H45" s="12">
        <v>14</v>
      </c>
      <c r="I45" s="12">
        <v>3</v>
      </c>
      <c r="J45" s="12">
        <v>3</v>
      </c>
      <c r="K45" s="12">
        <v>20</v>
      </c>
      <c r="L45" s="13" t="s">
        <v>82</v>
      </c>
      <c r="M45" s="13" t="s">
        <v>538</v>
      </c>
      <c r="N45" s="12">
        <v>11.55</v>
      </c>
      <c r="O45" s="12">
        <v>14.5</v>
      </c>
      <c r="P45" s="12">
        <v>42.4</v>
      </c>
      <c r="Q45" s="26">
        <f t="shared" si="0"/>
        <v>11.221875000000001</v>
      </c>
      <c r="R45" s="12">
        <v>7347.25</v>
      </c>
      <c r="S45" s="12">
        <v>6554.19</v>
      </c>
      <c r="T45" s="12">
        <v>70.19</v>
      </c>
      <c r="U45" s="12">
        <v>58.07</v>
      </c>
      <c r="V45" s="12">
        <v>1</v>
      </c>
    </row>
    <row r="46" spans="1:22" x14ac:dyDescent="0.25">
      <c r="A46" s="12">
        <v>2024</v>
      </c>
      <c r="B46" s="12" t="s">
        <v>333</v>
      </c>
      <c r="C46" s="12" t="s">
        <v>118</v>
      </c>
      <c r="D46" s="12" t="s">
        <v>119</v>
      </c>
      <c r="E46" s="12" t="s">
        <v>120</v>
      </c>
      <c r="F46" s="12" t="s">
        <v>380</v>
      </c>
      <c r="G46" s="12">
        <v>315</v>
      </c>
      <c r="H46" s="12">
        <v>15</v>
      </c>
      <c r="I46" s="12">
        <v>3</v>
      </c>
      <c r="J46" s="12">
        <v>3</v>
      </c>
      <c r="K46" s="12">
        <v>12</v>
      </c>
      <c r="L46" s="13" t="s">
        <v>27</v>
      </c>
      <c r="M46" s="13" t="s">
        <v>53</v>
      </c>
      <c r="N46" s="12">
        <v>10.19</v>
      </c>
      <c r="O46" s="12">
        <v>14.3</v>
      </c>
      <c r="P46" s="12">
        <v>42.4</v>
      </c>
      <c r="Q46" s="26">
        <f t="shared" si="0"/>
        <v>9.923670454545455</v>
      </c>
      <c r="R46" s="12">
        <v>6497.28</v>
      </c>
      <c r="S46" s="12">
        <v>5795.97</v>
      </c>
      <c r="T46" s="12">
        <v>72.12</v>
      </c>
      <c r="U46" s="12">
        <v>56.88</v>
      </c>
      <c r="V46" s="12">
        <v>1</v>
      </c>
    </row>
    <row r="47" spans="1:22" x14ac:dyDescent="0.25">
      <c r="A47" s="12">
        <v>2024</v>
      </c>
      <c r="B47" s="12" t="s">
        <v>333</v>
      </c>
      <c r="C47" s="12" t="s">
        <v>118</v>
      </c>
      <c r="D47" s="12" t="s">
        <v>119</v>
      </c>
      <c r="E47" s="12" t="s">
        <v>120</v>
      </c>
      <c r="F47" s="12" t="s">
        <v>381</v>
      </c>
      <c r="G47" s="12">
        <v>401</v>
      </c>
      <c r="H47" s="12">
        <v>1</v>
      </c>
      <c r="I47" s="12">
        <v>4</v>
      </c>
      <c r="J47" s="12">
        <v>1</v>
      </c>
      <c r="K47" s="12">
        <v>2</v>
      </c>
      <c r="L47" s="13" t="s">
        <v>100</v>
      </c>
      <c r="M47" s="13" t="s">
        <v>30</v>
      </c>
      <c r="N47" s="12">
        <v>11.98</v>
      </c>
      <c r="O47" s="12">
        <v>15.3</v>
      </c>
      <c r="P47" s="12">
        <v>42</v>
      </c>
      <c r="Q47" s="26">
        <f t="shared" si="0"/>
        <v>11.530749999999999</v>
      </c>
      <c r="R47" s="12">
        <v>7549.48</v>
      </c>
      <c r="S47" s="12">
        <v>6734.59</v>
      </c>
      <c r="T47" s="12">
        <v>69.2</v>
      </c>
      <c r="U47" s="12">
        <v>47.69</v>
      </c>
      <c r="V47" s="12">
        <v>1</v>
      </c>
    </row>
    <row r="48" spans="1:22" x14ac:dyDescent="0.25">
      <c r="A48" s="12">
        <v>2024</v>
      </c>
      <c r="B48" s="12" t="s">
        <v>333</v>
      </c>
      <c r="C48" s="12" t="s">
        <v>118</v>
      </c>
      <c r="D48" s="12" t="s">
        <v>119</v>
      </c>
      <c r="E48" s="12" t="s">
        <v>120</v>
      </c>
      <c r="F48" s="12" t="s">
        <v>382</v>
      </c>
      <c r="G48" s="12">
        <v>402</v>
      </c>
      <c r="H48" s="12">
        <v>2</v>
      </c>
      <c r="I48" s="12">
        <v>4</v>
      </c>
      <c r="J48" s="12">
        <v>1</v>
      </c>
      <c r="K48" s="12">
        <v>20</v>
      </c>
      <c r="L48" s="13" t="s">
        <v>82</v>
      </c>
      <c r="M48" s="13" t="s">
        <v>538</v>
      </c>
      <c r="N48" s="12">
        <v>12.16</v>
      </c>
      <c r="O48" s="12">
        <v>16.8</v>
      </c>
      <c r="P48" s="12">
        <v>41.8</v>
      </c>
      <c r="Q48" s="26">
        <f t="shared" si="0"/>
        <v>11.496727272727272</v>
      </c>
      <c r="R48" s="12">
        <v>7527.2</v>
      </c>
      <c r="S48" s="12">
        <v>6714.72</v>
      </c>
      <c r="T48" s="12">
        <v>71.03</v>
      </c>
      <c r="U48" s="12">
        <v>58.59</v>
      </c>
      <c r="V48" s="12">
        <v>1</v>
      </c>
    </row>
    <row r="49" spans="1:22" x14ac:dyDescent="0.25">
      <c r="A49" s="12">
        <v>2024</v>
      </c>
      <c r="B49" s="12" t="s">
        <v>333</v>
      </c>
      <c r="C49" s="12" t="s">
        <v>118</v>
      </c>
      <c r="D49" s="12" t="s">
        <v>119</v>
      </c>
      <c r="E49" s="12" t="s">
        <v>120</v>
      </c>
      <c r="F49" s="12" t="s">
        <v>383</v>
      </c>
      <c r="G49" s="12">
        <v>403</v>
      </c>
      <c r="H49" s="12">
        <v>3</v>
      </c>
      <c r="I49" s="12">
        <v>4</v>
      </c>
      <c r="J49" s="12">
        <v>1</v>
      </c>
      <c r="K49" s="12">
        <v>5</v>
      </c>
      <c r="L49" s="13" t="s">
        <v>339</v>
      </c>
      <c r="M49" s="13" t="s">
        <v>30</v>
      </c>
      <c r="N49" s="12">
        <v>10.99</v>
      </c>
      <c r="O49" s="12">
        <v>23</v>
      </c>
      <c r="P49" s="12">
        <v>40.799999999999997</v>
      </c>
      <c r="Q49" s="26">
        <f t="shared" si="0"/>
        <v>9.6162500000000009</v>
      </c>
      <c r="R49" s="12">
        <v>6296</v>
      </c>
      <c r="S49" s="12">
        <v>5616.42</v>
      </c>
      <c r="T49" s="12">
        <v>68.91</v>
      </c>
      <c r="U49" s="12">
        <v>62.05</v>
      </c>
      <c r="V49" s="12">
        <v>1</v>
      </c>
    </row>
    <row r="50" spans="1:22" x14ac:dyDescent="0.25">
      <c r="A50" s="12">
        <v>2024</v>
      </c>
      <c r="B50" s="12" t="s">
        <v>333</v>
      </c>
      <c r="C50" s="12" t="s">
        <v>118</v>
      </c>
      <c r="D50" s="12" t="s">
        <v>119</v>
      </c>
      <c r="E50" s="12" t="s">
        <v>120</v>
      </c>
      <c r="F50" s="12" t="s">
        <v>384</v>
      </c>
      <c r="G50" s="12">
        <v>404</v>
      </c>
      <c r="H50" s="12">
        <v>4</v>
      </c>
      <c r="I50" s="12">
        <v>4</v>
      </c>
      <c r="J50" s="12">
        <v>1</v>
      </c>
      <c r="K50" s="12">
        <v>12</v>
      </c>
      <c r="L50" s="13" t="s">
        <v>27</v>
      </c>
      <c r="M50" s="13" t="s">
        <v>53</v>
      </c>
      <c r="N50" s="12">
        <v>10.7</v>
      </c>
      <c r="O50" s="12">
        <v>16.3</v>
      </c>
      <c r="P50" s="12">
        <v>41.8</v>
      </c>
      <c r="Q50" s="26">
        <f t="shared" si="0"/>
        <v>10.177159090909091</v>
      </c>
      <c r="R50" s="12">
        <v>6663.24</v>
      </c>
      <c r="S50" s="12">
        <v>5944.02</v>
      </c>
      <c r="T50" s="12">
        <v>72.44</v>
      </c>
      <c r="U50" s="12">
        <v>59.48</v>
      </c>
      <c r="V50" s="12">
        <v>1</v>
      </c>
    </row>
    <row r="51" spans="1:22" x14ac:dyDescent="0.25">
      <c r="A51" s="12">
        <v>2024</v>
      </c>
      <c r="B51" s="12" t="s">
        <v>333</v>
      </c>
      <c r="C51" s="12" t="s">
        <v>118</v>
      </c>
      <c r="D51" s="12" t="s">
        <v>119</v>
      </c>
      <c r="E51" s="12" t="s">
        <v>120</v>
      </c>
      <c r="F51" s="12" t="s">
        <v>385</v>
      </c>
      <c r="G51" s="12">
        <v>405</v>
      </c>
      <c r="H51" s="12">
        <v>5</v>
      </c>
      <c r="I51" s="12">
        <v>4</v>
      </c>
      <c r="J51" s="12">
        <v>1</v>
      </c>
      <c r="K51" s="12">
        <v>10</v>
      </c>
      <c r="L51" s="13" t="s">
        <v>27</v>
      </c>
      <c r="M51" s="13" t="s">
        <v>538</v>
      </c>
      <c r="N51" s="12">
        <v>11.13</v>
      </c>
      <c r="O51" s="12">
        <v>15.9</v>
      </c>
      <c r="P51" s="12">
        <v>41.9</v>
      </c>
      <c r="Q51" s="26">
        <f t="shared" si="0"/>
        <v>10.636738636363638</v>
      </c>
      <c r="R51" s="12">
        <v>6964.14</v>
      </c>
      <c r="S51" s="12">
        <v>6212.44</v>
      </c>
      <c r="T51" s="12">
        <v>72.53</v>
      </c>
      <c r="U51" s="12">
        <v>59.86</v>
      </c>
      <c r="V51" s="12">
        <v>1</v>
      </c>
    </row>
    <row r="52" spans="1:22" x14ac:dyDescent="0.25">
      <c r="A52" s="12">
        <v>2024</v>
      </c>
      <c r="B52" s="12" t="s">
        <v>333</v>
      </c>
      <c r="C52" s="12" t="s">
        <v>118</v>
      </c>
      <c r="D52" s="12" t="s">
        <v>119</v>
      </c>
      <c r="E52" s="12" t="s">
        <v>120</v>
      </c>
      <c r="F52" s="12" t="s">
        <v>386</v>
      </c>
      <c r="G52" s="12">
        <v>406</v>
      </c>
      <c r="H52" s="12">
        <v>6</v>
      </c>
      <c r="I52" s="12">
        <v>4</v>
      </c>
      <c r="J52" s="12">
        <v>2</v>
      </c>
      <c r="K52" s="12">
        <v>20</v>
      </c>
      <c r="L52" s="13" t="s">
        <v>82</v>
      </c>
      <c r="M52" s="13" t="s">
        <v>538</v>
      </c>
      <c r="N52" s="12">
        <v>12.81</v>
      </c>
      <c r="O52" s="12">
        <v>15.9</v>
      </c>
      <c r="P52" s="12">
        <v>42.1</v>
      </c>
      <c r="Q52" s="26">
        <f t="shared" si="0"/>
        <v>12.242284090909092</v>
      </c>
      <c r="R52" s="12">
        <v>8015.33</v>
      </c>
      <c r="S52" s="12">
        <v>7150.16</v>
      </c>
      <c r="T52" s="12">
        <v>72.03</v>
      </c>
      <c r="U52" s="12">
        <v>61.27</v>
      </c>
      <c r="V52" s="12">
        <v>1</v>
      </c>
    </row>
    <row r="53" spans="1:22" x14ac:dyDescent="0.25">
      <c r="A53" s="12">
        <v>2024</v>
      </c>
      <c r="B53" s="12" t="s">
        <v>333</v>
      </c>
      <c r="C53" s="12" t="s">
        <v>118</v>
      </c>
      <c r="D53" s="12" t="s">
        <v>119</v>
      </c>
      <c r="E53" s="12" t="s">
        <v>120</v>
      </c>
      <c r="F53" s="12" t="s">
        <v>387</v>
      </c>
      <c r="G53" s="12">
        <v>407</v>
      </c>
      <c r="H53" s="12">
        <v>7</v>
      </c>
      <c r="I53" s="12">
        <v>4</v>
      </c>
      <c r="J53" s="12">
        <v>2</v>
      </c>
      <c r="K53" s="12">
        <v>19</v>
      </c>
      <c r="L53" s="13" t="s">
        <v>113</v>
      </c>
      <c r="M53" s="13" t="s">
        <v>538</v>
      </c>
      <c r="N53" s="12">
        <v>10.86</v>
      </c>
      <c r="O53" s="12">
        <v>16.600000000000001</v>
      </c>
      <c r="P53" s="12">
        <v>41.8</v>
      </c>
      <c r="Q53" s="26">
        <f t="shared" si="0"/>
        <v>10.29231818181818</v>
      </c>
      <c r="R53" s="12">
        <v>6738.64</v>
      </c>
      <c r="S53" s="12">
        <v>6011.28</v>
      </c>
      <c r="T53" s="12">
        <v>69.319999999999993</v>
      </c>
      <c r="U53" s="12">
        <v>56.92</v>
      </c>
      <c r="V53" s="12">
        <v>2</v>
      </c>
    </row>
    <row r="54" spans="1:22" x14ac:dyDescent="0.25">
      <c r="A54" s="12">
        <v>2024</v>
      </c>
      <c r="B54" s="12" t="s">
        <v>333</v>
      </c>
      <c r="C54" s="12" t="s">
        <v>118</v>
      </c>
      <c r="D54" s="12" t="s">
        <v>119</v>
      </c>
      <c r="E54" s="12" t="s">
        <v>120</v>
      </c>
      <c r="F54" s="12" t="s">
        <v>388</v>
      </c>
      <c r="G54" s="12">
        <v>408</v>
      </c>
      <c r="H54" s="12">
        <v>8</v>
      </c>
      <c r="I54" s="12">
        <v>4</v>
      </c>
      <c r="J54" s="12">
        <v>2</v>
      </c>
      <c r="K54" s="12">
        <v>9</v>
      </c>
      <c r="L54" s="13" t="s">
        <v>69</v>
      </c>
      <c r="M54" s="13" t="s">
        <v>53</v>
      </c>
      <c r="N54" s="12">
        <v>12.46</v>
      </c>
      <c r="O54" s="12">
        <v>12.6</v>
      </c>
      <c r="P54" s="12">
        <v>43</v>
      </c>
      <c r="Q54" s="26">
        <f t="shared" si="0"/>
        <v>12.375045454545456</v>
      </c>
      <c r="R54" s="12">
        <v>8102.26</v>
      </c>
      <c r="S54" s="12">
        <v>7227.7</v>
      </c>
      <c r="T54" s="12">
        <v>71.38</v>
      </c>
      <c r="U54" s="12">
        <v>56.42</v>
      </c>
      <c r="V54" s="12">
        <v>1</v>
      </c>
    </row>
    <row r="55" spans="1:22" x14ac:dyDescent="0.25">
      <c r="A55" s="12">
        <v>2024</v>
      </c>
      <c r="B55" s="12" t="s">
        <v>333</v>
      </c>
      <c r="C55" s="12" t="s">
        <v>118</v>
      </c>
      <c r="D55" s="12" t="s">
        <v>119</v>
      </c>
      <c r="E55" s="12" t="s">
        <v>120</v>
      </c>
      <c r="F55" s="12" t="s">
        <v>389</v>
      </c>
      <c r="G55" s="12">
        <v>409</v>
      </c>
      <c r="H55" s="12">
        <v>9</v>
      </c>
      <c r="I55" s="12">
        <v>4</v>
      </c>
      <c r="J55" s="12">
        <v>2</v>
      </c>
      <c r="K55" s="12">
        <v>6</v>
      </c>
      <c r="L55" s="13" t="s">
        <v>339</v>
      </c>
      <c r="M55" s="13" t="s">
        <v>53</v>
      </c>
      <c r="N55" s="12">
        <v>11.24</v>
      </c>
      <c r="O55" s="12">
        <v>20.9</v>
      </c>
      <c r="P55" s="12">
        <v>41</v>
      </c>
      <c r="Q55" s="26">
        <f t="shared" si="0"/>
        <v>10.103227272727274</v>
      </c>
      <c r="R55" s="12">
        <v>6614.84</v>
      </c>
      <c r="S55" s="12">
        <v>5900.84</v>
      </c>
      <c r="T55" s="12">
        <v>68.900000000000006</v>
      </c>
      <c r="U55" s="12">
        <v>61.72</v>
      </c>
      <c r="V55" s="12">
        <v>2</v>
      </c>
    </row>
    <row r="56" spans="1:22" x14ac:dyDescent="0.25">
      <c r="A56" s="12">
        <v>2024</v>
      </c>
      <c r="B56" s="12" t="s">
        <v>333</v>
      </c>
      <c r="C56" s="12" t="s">
        <v>118</v>
      </c>
      <c r="D56" s="12" t="s">
        <v>119</v>
      </c>
      <c r="E56" s="12" t="s">
        <v>120</v>
      </c>
      <c r="F56" s="12" t="s">
        <v>390</v>
      </c>
      <c r="G56" s="12">
        <v>410</v>
      </c>
      <c r="H56" s="12">
        <v>10</v>
      </c>
      <c r="I56" s="12">
        <v>4</v>
      </c>
      <c r="J56" s="12">
        <v>2</v>
      </c>
      <c r="K56" s="12">
        <v>14</v>
      </c>
      <c r="L56" s="13" t="s">
        <v>336</v>
      </c>
      <c r="M56" s="13" t="s">
        <v>30</v>
      </c>
      <c r="N56" s="12">
        <v>10.37</v>
      </c>
      <c r="O56" s="12">
        <v>13.7</v>
      </c>
      <c r="P56" s="12">
        <v>42.3</v>
      </c>
      <c r="Q56" s="26">
        <f t="shared" si="0"/>
        <v>10.169670454545454</v>
      </c>
      <c r="R56" s="12">
        <v>6658.34</v>
      </c>
      <c r="S56" s="12">
        <v>5939.64</v>
      </c>
      <c r="T56" s="12">
        <v>71.08</v>
      </c>
      <c r="U56" s="12">
        <v>50.31</v>
      </c>
      <c r="V56" s="12">
        <v>0</v>
      </c>
    </row>
    <row r="57" spans="1:22" x14ac:dyDescent="0.25">
      <c r="A57" s="12">
        <v>2024</v>
      </c>
      <c r="B57" s="12" t="s">
        <v>333</v>
      </c>
      <c r="C57" s="12" t="s">
        <v>118</v>
      </c>
      <c r="D57" s="12" t="s">
        <v>119</v>
      </c>
      <c r="E57" s="12" t="s">
        <v>120</v>
      </c>
      <c r="F57" s="12" t="s">
        <v>391</v>
      </c>
      <c r="G57" s="12">
        <v>411</v>
      </c>
      <c r="H57" s="12">
        <v>11</v>
      </c>
      <c r="I57" s="12">
        <v>4</v>
      </c>
      <c r="J57" s="12">
        <v>3</v>
      </c>
      <c r="K57" s="12">
        <v>17</v>
      </c>
      <c r="L57" s="13" t="s">
        <v>42</v>
      </c>
      <c r="M57" s="13" t="s">
        <v>30</v>
      </c>
      <c r="N57" s="12">
        <v>11.5</v>
      </c>
      <c r="O57" s="12">
        <v>14.6</v>
      </c>
      <c r="P57" s="12">
        <v>42.3</v>
      </c>
      <c r="Q57" s="26">
        <f t="shared" si="0"/>
        <v>11.160227272727273</v>
      </c>
      <c r="R57" s="12">
        <v>7306.88</v>
      </c>
      <c r="S57" s="12">
        <v>6518.18</v>
      </c>
      <c r="T57" s="12">
        <v>71.33</v>
      </c>
      <c r="U57" s="12">
        <v>60.57</v>
      </c>
      <c r="V57" s="12">
        <v>1</v>
      </c>
    </row>
    <row r="58" spans="1:22" x14ac:dyDescent="0.25">
      <c r="A58" s="12">
        <v>2024</v>
      </c>
      <c r="B58" s="12" t="s">
        <v>333</v>
      </c>
      <c r="C58" s="12" t="s">
        <v>118</v>
      </c>
      <c r="D58" s="12" t="s">
        <v>119</v>
      </c>
      <c r="E58" s="12" t="s">
        <v>120</v>
      </c>
      <c r="F58" s="12" t="s">
        <v>392</v>
      </c>
      <c r="G58" s="12">
        <v>412</v>
      </c>
      <c r="H58" s="12">
        <v>12</v>
      </c>
      <c r="I58" s="12">
        <v>4</v>
      </c>
      <c r="J58" s="12">
        <v>3</v>
      </c>
      <c r="K58" s="12">
        <v>18</v>
      </c>
      <c r="L58" s="13" t="s">
        <v>42</v>
      </c>
      <c r="M58" s="13" t="s">
        <v>53</v>
      </c>
      <c r="N58" s="12">
        <v>10.97</v>
      </c>
      <c r="O58" s="12">
        <v>14</v>
      </c>
      <c r="P58" s="12">
        <v>42.4</v>
      </c>
      <c r="Q58" s="26">
        <f t="shared" si="0"/>
        <v>10.720681818181818</v>
      </c>
      <c r="R58" s="12">
        <v>7019.1</v>
      </c>
      <c r="S58" s="12">
        <v>6261.47</v>
      </c>
      <c r="T58" s="12">
        <v>72.45</v>
      </c>
      <c r="U58" s="12">
        <v>62.54</v>
      </c>
      <c r="V58" s="12">
        <v>1</v>
      </c>
    </row>
    <row r="59" spans="1:22" x14ac:dyDescent="0.25">
      <c r="A59" s="12">
        <v>2024</v>
      </c>
      <c r="B59" s="12" t="s">
        <v>333</v>
      </c>
      <c r="C59" s="12" t="s">
        <v>118</v>
      </c>
      <c r="D59" s="12" t="s">
        <v>119</v>
      </c>
      <c r="E59" s="12" t="s">
        <v>120</v>
      </c>
      <c r="F59" s="12" t="s">
        <v>393</v>
      </c>
      <c r="G59" s="12">
        <v>413</v>
      </c>
      <c r="H59" s="12">
        <v>13</v>
      </c>
      <c r="I59" s="12">
        <v>4</v>
      </c>
      <c r="J59" s="12">
        <v>3</v>
      </c>
      <c r="K59" s="12">
        <v>4</v>
      </c>
      <c r="L59" s="13" t="s">
        <v>339</v>
      </c>
      <c r="M59" s="13" t="s">
        <v>538</v>
      </c>
      <c r="N59" s="12">
        <v>9.59</v>
      </c>
      <c r="O59" s="12">
        <v>20.9</v>
      </c>
      <c r="P59" s="12">
        <v>41.1</v>
      </c>
      <c r="Q59" s="26">
        <f t="shared" si="0"/>
        <v>8.6201022727272729</v>
      </c>
      <c r="R59" s="12">
        <v>5643.8</v>
      </c>
      <c r="S59" s="12">
        <v>5034.6099999999997</v>
      </c>
      <c r="T59" s="12">
        <v>67.95</v>
      </c>
      <c r="U59" s="12">
        <v>60.84</v>
      </c>
      <c r="V59" s="12">
        <v>2</v>
      </c>
    </row>
    <row r="60" spans="1:22" x14ac:dyDescent="0.25">
      <c r="A60" s="12">
        <v>2024</v>
      </c>
      <c r="B60" s="12" t="s">
        <v>333</v>
      </c>
      <c r="C60" s="12" t="s">
        <v>118</v>
      </c>
      <c r="D60" s="12" t="s">
        <v>119</v>
      </c>
      <c r="E60" s="12" t="s">
        <v>120</v>
      </c>
      <c r="F60" s="12" t="s">
        <v>394</v>
      </c>
      <c r="G60" s="12">
        <v>414</v>
      </c>
      <c r="H60" s="12">
        <v>14</v>
      </c>
      <c r="I60" s="12">
        <v>4</v>
      </c>
      <c r="J60" s="12">
        <v>3</v>
      </c>
      <c r="K60" s="12">
        <v>10</v>
      </c>
      <c r="L60" s="13" t="s">
        <v>27</v>
      </c>
      <c r="M60" s="13" t="s">
        <v>538</v>
      </c>
      <c r="N60" s="12">
        <v>9.7799999999999994</v>
      </c>
      <c r="O60" s="12">
        <v>14.5</v>
      </c>
      <c r="P60" s="12">
        <v>42.4</v>
      </c>
      <c r="Q60" s="26">
        <f t="shared" si="0"/>
        <v>9.5021590909090889</v>
      </c>
      <c r="R60" s="12">
        <v>6221.31</v>
      </c>
      <c r="S60" s="12">
        <v>5549.78</v>
      </c>
      <c r="T60" s="12">
        <v>73.599999999999994</v>
      </c>
      <c r="U60" s="12">
        <v>60.62</v>
      </c>
      <c r="V60" s="12">
        <v>1</v>
      </c>
    </row>
    <row r="61" spans="1:22" x14ac:dyDescent="0.25">
      <c r="A61" s="12">
        <v>2024</v>
      </c>
      <c r="B61" s="12" t="s">
        <v>333</v>
      </c>
      <c r="C61" s="12" t="s">
        <v>118</v>
      </c>
      <c r="D61" s="12" t="s">
        <v>119</v>
      </c>
      <c r="E61" s="12" t="s">
        <v>120</v>
      </c>
      <c r="F61" s="12" t="s">
        <v>395</v>
      </c>
      <c r="G61" s="12">
        <v>415</v>
      </c>
      <c r="H61" s="12">
        <v>15</v>
      </c>
      <c r="I61" s="12">
        <v>4</v>
      </c>
      <c r="J61" s="12">
        <v>3</v>
      </c>
      <c r="K61" s="12">
        <v>3</v>
      </c>
      <c r="L61" s="13" t="s">
        <v>100</v>
      </c>
      <c r="M61" s="13" t="s">
        <v>53</v>
      </c>
      <c r="N61" s="12">
        <v>10.59</v>
      </c>
      <c r="O61" s="12">
        <v>13.6</v>
      </c>
      <c r="P61" s="12">
        <v>42.7</v>
      </c>
      <c r="Q61" s="26">
        <f t="shared" si="0"/>
        <v>10.397454545454545</v>
      </c>
      <c r="R61" s="12">
        <v>6807.48</v>
      </c>
      <c r="S61" s="12">
        <v>6072.68</v>
      </c>
      <c r="T61" s="12">
        <v>70</v>
      </c>
      <c r="U61" s="12">
        <v>49.37</v>
      </c>
      <c r="V61" s="12">
        <v>1</v>
      </c>
    </row>
    <row r="62" spans="1:22" x14ac:dyDescent="0.25">
      <c r="A62" s="12">
        <v>2024</v>
      </c>
      <c r="B62" s="12" t="s">
        <v>396</v>
      </c>
      <c r="C62" s="12" t="s">
        <v>202</v>
      </c>
      <c r="D62" s="12" t="s">
        <v>203</v>
      </c>
      <c r="E62" s="12" t="s">
        <v>204</v>
      </c>
      <c r="F62" s="12" t="s">
        <v>397</v>
      </c>
      <c r="G62" s="12">
        <v>101</v>
      </c>
      <c r="H62" s="12">
        <v>1</v>
      </c>
      <c r="I62" s="12">
        <v>1</v>
      </c>
      <c r="J62" s="12">
        <v>1</v>
      </c>
      <c r="K62" s="12">
        <v>3</v>
      </c>
      <c r="L62" s="13" t="s">
        <v>100</v>
      </c>
      <c r="M62" s="13" t="s">
        <v>53</v>
      </c>
      <c r="N62" s="12">
        <v>5.86</v>
      </c>
      <c r="O62" s="12">
        <v>14.5</v>
      </c>
      <c r="P62" s="12">
        <v>32.9</v>
      </c>
      <c r="Q62" s="26">
        <f t="shared" si="0"/>
        <v>5.6935227272727271</v>
      </c>
      <c r="R62" s="12">
        <v>3727.69</v>
      </c>
      <c r="S62" s="12">
        <v>3325.33</v>
      </c>
      <c r="T62" s="12">
        <v>61.04</v>
      </c>
      <c r="U62" s="12">
        <v>34.700000000000003</v>
      </c>
      <c r="V62" s="12">
        <v>1</v>
      </c>
    </row>
    <row r="63" spans="1:22" x14ac:dyDescent="0.25">
      <c r="A63" s="12">
        <v>2024</v>
      </c>
      <c r="B63" s="12" t="s">
        <v>396</v>
      </c>
      <c r="C63" s="12" t="s">
        <v>202</v>
      </c>
      <c r="D63" s="12" t="s">
        <v>203</v>
      </c>
      <c r="E63" s="12" t="s">
        <v>204</v>
      </c>
      <c r="F63" s="12" t="s">
        <v>398</v>
      </c>
      <c r="G63" s="12">
        <v>102</v>
      </c>
      <c r="H63" s="12">
        <v>2</v>
      </c>
      <c r="I63" s="12">
        <v>1</v>
      </c>
      <c r="J63" s="12">
        <v>1</v>
      </c>
      <c r="K63" s="12">
        <v>5</v>
      </c>
      <c r="L63" s="13" t="s">
        <v>339</v>
      </c>
      <c r="M63" s="13" t="s">
        <v>30</v>
      </c>
      <c r="N63" s="12">
        <v>6.96</v>
      </c>
      <c r="O63" s="12">
        <v>16</v>
      </c>
      <c r="P63" s="12">
        <v>42.9</v>
      </c>
      <c r="Q63" s="26">
        <f t="shared" si="0"/>
        <v>6.6436363636363636</v>
      </c>
      <c r="R63" s="12">
        <v>4349.76</v>
      </c>
      <c r="S63" s="12">
        <v>3880.25</v>
      </c>
      <c r="T63" s="12">
        <v>65.25</v>
      </c>
      <c r="U63" s="12">
        <v>53.82</v>
      </c>
      <c r="V63" s="12">
        <v>1</v>
      </c>
    </row>
    <row r="64" spans="1:22" x14ac:dyDescent="0.25">
      <c r="A64" s="12">
        <v>2024</v>
      </c>
      <c r="B64" s="12" t="s">
        <v>396</v>
      </c>
      <c r="C64" s="12" t="s">
        <v>202</v>
      </c>
      <c r="D64" s="12" t="s">
        <v>203</v>
      </c>
      <c r="E64" s="12" t="s">
        <v>204</v>
      </c>
      <c r="F64" s="12" t="s">
        <v>399</v>
      </c>
      <c r="G64" s="12">
        <v>103</v>
      </c>
      <c r="H64" s="12">
        <v>3</v>
      </c>
      <c r="I64" s="12">
        <v>1</v>
      </c>
      <c r="J64" s="12">
        <v>1</v>
      </c>
      <c r="K64" s="12">
        <v>11</v>
      </c>
      <c r="L64" s="13" t="s">
        <v>27</v>
      </c>
      <c r="M64" s="13" t="s">
        <v>30</v>
      </c>
      <c r="N64" s="12">
        <v>6.31</v>
      </c>
      <c r="O64" s="12">
        <v>14.4</v>
      </c>
      <c r="P64" s="12">
        <v>37.299999999999997</v>
      </c>
      <c r="Q64" s="26">
        <f t="shared" si="0"/>
        <v>6.1379090909090905</v>
      </c>
      <c r="R64" s="12">
        <v>4018.65</v>
      </c>
      <c r="S64" s="12">
        <v>3584.88</v>
      </c>
      <c r="T64" s="12">
        <v>66.98</v>
      </c>
      <c r="U64" s="12">
        <v>46.54</v>
      </c>
      <c r="V64" s="12">
        <v>1</v>
      </c>
    </row>
    <row r="65" spans="1:22" x14ac:dyDescent="0.25">
      <c r="A65" s="12">
        <v>2024</v>
      </c>
      <c r="B65" s="12" t="s">
        <v>396</v>
      </c>
      <c r="C65" s="12" t="s">
        <v>202</v>
      </c>
      <c r="D65" s="12" t="s">
        <v>203</v>
      </c>
      <c r="E65" s="12" t="s">
        <v>204</v>
      </c>
      <c r="F65" s="12" t="s">
        <v>400</v>
      </c>
      <c r="G65" s="12">
        <v>104</v>
      </c>
      <c r="H65" s="12">
        <v>4</v>
      </c>
      <c r="I65" s="12">
        <v>1</v>
      </c>
      <c r="J65" s="12">
        <v>1</v>
      </c>
      <c r="K65" s="12">
        <v>9</v>
      </c>
      <c r="L65" s="13" t="s">
        <v>69</v>
      </c>
      <c r="M65" s="13" t="s">
        <v>53</v>
      </c>
      <c r="N65" s="12">
        <v>5.6</v>
      </c>
      <c r="O65" s="12">
        <v>14.2</v>
      </c>
      <c r="P65" s="12">
        <v>36.700000000000003</v>
      </c>
      <c r="Q65" s="26">
        <f t="shared" si="0"/>
        <v>5.4599999999999991</v>
      </c>
      <c r="R65" s="12">
        <v>3574.8</v>
      </c>
      <c r="S65" s="12">
        <v>3188.94</v>
      </c>
      <c r="T65" s="12">
        <v>63.57</v>
      </c>
      <c r="U65" s="12">
        <v>45.89</v>
      </c>
      <c r="V65" s="12">
        <v>0</v>
      </c>
    </row>
    <row r="66" spans="1:22" x14ac:dyDescent="0.25">
      <c r="A66" s="12">
        <v>2024</v>
      </c>
      <c r="B66" s="12" t="s">
        <v>396</v>
      </c>
      <c r="C66" s="12" t="s">
        <v>202</v>
      </c>
      <c r="D66" s="12" t="s">
        <v>203</v>
      </c>
      <c r="E66" s="12" t="s">
        <v>204</v>
      </c>
      <c r="F66" s="12" t="s">
        <v>401</v>
      </c>
      <c r="G66" s="12">
        <v>105</v>
      </c>
      <c r="H66" s="12">
        <v>5</v>
      </c>
      <c r="I66" s="12">
        <v>1</v>
      </c>
      <c r="J66" s="12">
        <v>2</v>
      </c>
      <c r="K66" s="12">
        <v>9</v>
      </c>
      <c r="L66" s="13" t="s">
        <v>69</v>
      </c>
      <c r="M66" s="13" t="s">
        <v>53</v>
      </c>
      <c r="N66" s="12">
        <v>6.53</v>
      </c>
      <c r="O66" s="12">
        <v>13.5</v>
      </c>
      <c r="P66" s="12">
        <v>32.1</v>
      </c>
      <c r="Q66" s="26">
        <f t="shared" si="0"/>
        <v>6.418693181818182</v>
      </c>
      <c r="R66" s="12">
        <v>4202.4799999999996</v>
      </c>
      <c r="S66" s="12">
        <v>3748.87</v>
      </c>
      <c r="T66" s="12">
        <v>63.1</v>
      </c>
      <c r="U66" s="12">
        <v>43.05</v>
      </c>
      <c r="V66" s="12">
        <v>1</v>
      </c>
    </row>
    <row r="67" spans="1:22" x14ac:dyDescent="0.25">
      <c r="A67" s="12">
        <v>2024</v>
      </c>
      <c r="B67" s="12" t="s">
        <v>396</v>
      </c>
      <c r="C67" s="12" t="s">
        <v>202</v>
      </c>
      <c r="D67" s="12" t="s">
        <v>203</v>
      </c>
      <c r="E67" s="12" t="s">
        <v>204</v>
      </c>
      <c r="F67" s="12" t="s">
        <v>402</v>
      </c>
      <c r="G67" s="12">
        <v>106</v>
      </c>
      <c r="H67" s="12">
        <v>6</v>
      </c>
      <c r="I67" s="12">
        <v>1</v>
      </c>
      <c r="J67" s="12">
        <v>2</v>
      </c>
      <c r="K67" s="12">
        <v>13</v>
      </c>
      <c r="L67" s="13" t="s">
        <v>336</v>
      </c>
      <c r="M67" s="13" t="s">
        <v>538</v>
      </c>
      <c r="N67" s="12">
        <v>3.43</v>
      </c>
      <c r="O67" s="12">
        <v>12.9</v>
      </c>
      <c r="P67" s="12">
        <v>27.1</v>
      </c>
      <c r="Q67" s="26">
        <f t="shared" ref="Q67:Q130" si="1">N67*(1-O67/100)/(1-0.12)</f>
        <v>3.3949204545454545</v>
      </c>
      <c r="R67" s="12">
        <v>2222.7399999999998</v>
      </c>
      <c r="S67" s="12">
        <v>1982.82</v>
      </c>
      <c r="T67" s="12">
        <v>56.92</v>
      </c>
      <c r="U67" s="12">
        <v>32.93</v>
      </c>
      <c r="V67" s="12">
        <v>1</v>
      </c>
    </row>
    <row r="68" spans="1:22" x14ac:dyDescent="0.25">
      <c r="A68" s="12">
        <v>2024</v>
      </c>
      <c r="B68" s="12" t="s">
        <v>396</v>
      </c>
      <c r="C68" s="12" t="s">
        <v>202</v>
      </c>
      <c r="D68" s="12" t="s">
        <v>203</v>
      </c>
      <c r="E68" s="12" t="s">
        <v>204</v>
      </c>
      <c r="F68" s="12" t="s">
        <v>403</v>
      </c>
      <c r="G68" s="12">
        <v>107</v>
      </c>
      <c r="H68" s="12">
        <v>7</v>
      </c>
      <c r="I68" s="12">
        <v>1</v>
      </c>
      <c r="J68" s="12">
        <v>2</v>
      </c>
      <c r="K68" s="12">
        <v>2</v>
      </c>
      <c r="L68" s="13" t="s">
        <v>100</v>
      </c>
      <c r="M68" s="13" t="s">
        <v>30</v>
      </c>
      <c r="N68" s="12">
        <v>6.92</v>
      </c>
      <c r="O68" s="12">
        <v>12.7</v>
      </c>
      <c r="P68" s="12">
        <v>29.8</v>
      </c>
      <c r="Q68" s="26">
        <f t="shared" si="1"/>
        <v>6.8649545454545446</v>
      </c>
      <c r="R68" s="12">
        <v>4494.66</v>
      </c>
      <c r="S68" s="12">
        <v>4009.51</v>
      </c>
      <c r="T68" s="12">
        <v>59.57</v>
      </c>
      <c r="U68" s="12">
        <v>26.91</v>
      </c>
      <c r="V68" s="12">
        <v>2</v>
      </c>
    </row>
    <row r="69" spans="1:22" x14ac:dyDescent="0.25">
      <c r="A69" s="12">
        <v>2024</v>
      </c>
      <c r="B69" s="12" t="s">
        <v>396</v>
      </c>
      <c r="C69" s="12" t="s">
        <v>202</v>
      </c>
      <c r="D69" s="12" t="s">
        <v>203</v>
      </c>
      <c r="E69" s="12" t="s">
        <v>204</v>
      </c>
      <c r="F69" s="12" t="s">
        <v>404</v>
      </c>
      <c r="G69" s="12">
        <v>108</v>
      </c>
      <c r="H69" s="12">
        <v>8</v>
      </c>
      <c r="I69" s="12">
        <v>1</v>
      </c>
      <c r="J69" s="12">
        <v>3</v>
      </c>
      <c r="K69" s="12">
        <v>13</v>
      </c>
      <c r="L69" s="13" t="s">
        <v>336</v>
      </c>
      <c r="M69" s="13" t="s">
        <v>538</v>
      </c>
      <c r="N69" s="12">
        <v>5.03</v>
      </c>
      <c r="O69" s="12">
        <v>12.9</v>
      </c>
      <c r="P69" s="12">
        <v>32.299999999999997</v>
      </c>
      <c r="Q69" s="26">
        <f t="shared" si="1"/>
        <v>4.9785568181818185</v>
      </c>
      <c r="R69" s="12">
        <v>3259.59</v>
      </c>
      <c r="S69" s="12">
        <v>2907.75</v>
      </c>
      <c r="T69" s="12">
        <v>59.72</v>
      </c>
      <c r="U69" s="12">
        <v>37.36</v>
      </c>
      <c r="V69" s="12">
        <v>1</v>
      </c>
    </row>
    <row r="70" spans="1:22" x14ac:dyDescent="0.25">
      <c r="A70" s="12">
        <v>2024</v>
      </c>
      <c r="B70" s="12" t="s">
        <v>396</v>
      </c>
      <c r="C70" s="12" t="s">
        <v>202</v>
      </c>
      <c r="D70" s="12" t="s">
        <v>203</v>
      </c>
      <c r="E70" s="12" t="s">
        <v>204</v>
      </c>
      <c r="F70" s="12" t="s">
        <v>405</v>
      </c>
      <c r="G70" s="12">
        <v>109</v>
      </c>
      <c r="H70" s="12">
        <v>9</v>
      </c>
      <c r="I70" s="12">
        <v>1</v>
      </c>
      <c r="J70" s="12">
        <v>3</v>
      </c>
      <c r="K70" s="12">
        <v>19</v>
      </c>
      <c r="L70" s="13" t="s">
        <v>113</v>
      </c>
      <c r="M70" s="13" t="s">
        <v>538</v>
      </c>
      <c r="N70" s="12">
        <v>7.24</v>
      </c>
      <c r="O70" s="12">
        <v>13.2</v>
      </c>
      <c r="P70" s="12">
        <v>32.5</v>
      </c>
      <c r="Q70" s="26">
        <f t="shared" si="1"/>
        <v>7.1412727272727272</v>
      </c>
      <c r="R70" s="12">
        <v>4675.57</v>
      </c>
      <c r="S70" s="12">
        <v>4170.8900000000003</v>
      </c>
      <c r="T70" s="12">
        <v>59.74</v>
      </c>
      <c r="U70" s="12">
        <v>32.65</v>
      </c>
      <c r="V70" s="12">
        <v>1</v>
      </c>
    </row>
    <row r="71" spans="1:22" x14ac:dyDescent="0.25">
      <c r="A71" s="12">
        <v>2024</v>
      </c>
      <c r="B71" s="12" t="s">
        <v>396</v>
      </c>
      <c r="C71" s="12" t="s">
        <v>202</v>
      </c>
      <c r="D71" s="12" t="s">
        <v>203</v>
      </c>
      <c r="E71" s="12" t="s">
        <v>204</v>
      </c>
      <c r="F71" s="12" t="s">
        <v>406</v>
      </c>
      <c r="G71" s="12">
        <v>110</v>
      </c>
      <c r="H71" s="12">
        <v>10</v>
      </c>
      <c r="I71" s="12">
        <v>1</v>
      </c>
      <c r="J71" s="12">
        <v>3</v>
      </c>
      <c r="K71" s="12">
        <v>1</v>
      </c>
      <c r="L71" s="13" t="s">
        <v>100</v>
      </c>
      <c r="M71" s="13" t="s">
        <v>538</v>
      </c>
      <c r="N71" s="12">
        <v>6.42</v>
      </c>
      <c r="O71" s="12">
        <v>13.4</v>
      </c>
      <c r="P71" s="12">
        <v>36.9</v>
      </c>
      <c r="Q71" s="26">
        <f t="shared" si="1"/>
        <v>6.3178636363636356</v>
      </c>
      <c r="R71" s="12">
        <v>4136.47</v>
      </c>
      <c r="S71" s="12">
        <v>3689.98</v>
      </c>
      <c r="T71" s="12">
        <v>60.23</v>
      </c>
      <c r="U71" s="12">
        <v>30.6</v>
      </c>
      <c r="V71" s="12">
        <v>1</v>
      </c>
    </row>
    <row r="72" spans="1:22" x14ac:dyDescent="0.25">
      <c r="A72" s="12">
        <v>2024</v>
      </c>
      <c r="B72" s="12" t="s">
        <v>396</v>
      </c>
      <c r="C72" s="12" t="s">
        <v>202</v>
      </c>
      <c r="D72" s="12" t="s">
        <v>203</v>
      </c>
      <c r="E72" s="12" t="s">
        <v>204</v>
      </c>
      <c r="F72" s="12" t="s">
        <v>407</v>
      </c>
      <c r="G72" s="12">
        <v>201</v>
      </c>
      <c r="H72" s="12">
        <v>1</v>
      </c>
      <c r="I72" s="12">
        <v>2</v>
      </c>
      <c r="J72" s="12">
        <v>1</v>
      </c>
      <c r="K72" s="12">
        <v>18</v>
      </c>
      <c r="L72" s="13" t="s">
        <v>42</v>
      </c>
      <c r="M72" s="13" t="s">
        <v>53</v>
      </c>
      <c r="N72" s="12">
        <v>7.17</v>
      </c>
      <c r="O72" s="12">
        <v>15.3</v>
      </c>
      <c r="P72" s="12">
        <v>37.799999999999997</v>
      </c>
      <c r="Q72" s="26">
        <f t="shared" si="1"/>
        <v>6.9011249999999995</v>
      </c>
      <c r="R72" s="12">
        <v>4518.34</v>
      </c>
      <c r="S72" s="12">
        <v>4030.64</v>
      </c>
      <c r="T72" s="12">
        <v>65.819999999999993</v>
      </c>
      <c r="U72" s="12">
        <v>56.18</v>
      </c>
      <c r="V72" s="12">
        <v>0</v>
      </c>
    </row>
    <row r="73" spans="1:22" x14ac:dyDescent="0.25">
      <c r="A73" s="12">
        <v>2024</v>
      </c>
      <c r="B73" s="12" t="s">
        <v>396</v>
      </c>
      <c r="C73" s="12" t="s">
        <v>202</v>
      </c>
      <c r="D73" s="12" t="s">
        <v>203</v>
      </c>
      <c r="E73" s="12" t="s">
        <v>204</v>
      </c>
      <c r="F73" s="12" t="s">
        <v>408</v>
      </c>
      <c r="G73" s="12">
        <v>202</v>
      </c>
      <c r="H73" s="12">
        <v>2</v>
      </c>
      <c r="I73" s="12">
        <v>2</v>
      </c>
      <c r="J73" s="12">
        <v>1</v>
      </c>
      <c r="K73" s="12">
        <v>15</v>
      </c>
      <c r="L73" s="13" t="s">
        <v>336</v>
      </c>
      <c r="M73" s="13" t="s">
        <v>53</v>
      </c>
      <c r="N73" s="12">
        <v>3.85</v>
      </c>
      <c r="O73" s="12">
        <v>14.1</v>
      </c>
      <c r="P73" s="12">
        <v>32.200000000000003</v>
      </c>
      <c r="Q73" s="26">
        <f t="shared" si="1"/>
        <v>3.7581250000000002</v>
      </c>
      <c r="R73" s="12">
        <v>2460.54</v>
      </c>
      <c r="S73" s="12">
        <v>2194.9499999999998</v>
      </c>
      <c r="T73" s="12">
        <v>60.54</v>
      </c>
      <c r="U73" s="12">
        <v>42.55</v>
      </c>
      <c r="V73" s="12">
        <v>1</v>
      </c>
    </row>
    <row r="74" spans="1:22" x14ac:dyDescent="0.25">
      <c r="A74" s="12">
        <v>2024</v>
      </c>
      <c r="B74" s="12" t="s">
        <v>396</v>
      </c>
      <c r="C74" s="12" t="s">
        <v>202</v>
      </c>
      <c r="D74" s="12" t="s">
        <v>203</v>
      </c>
      <c r="E74" s="12" t="s">
        <v>204</v>
      </c>
      <c r="F74" s="12" t="s">
        <v>409</v>
      </c>
      <c r="G74" s="12">
        <v>203</v>
      </c>
      <c r="H74" s="12">
        <v>3</v>
      </c>
      <c r="I74" s="12">
        <v>2</v>
      </c>
      <c r="J74" s="12">
        <v>1</v>
      </c>
      <c r="K74" s="12">
        <v>12</v>
      </c>
      <c r="L74" s="13" t="s">
        <v>27</v>
      </c>
      <c r="M74" s="13" t="s">
        <v>53</v>
      </c>
      <c r="N74" s="12">
        <v>6.74</v>
      </c>
      <c r="O74" s="12">
        <v>15.1</v>
      </c>
      <c r="P74" s="12">
        <v>40.299999999999997</v>
      </c>
      <c r="Q74" s="26">
        <f t="shared" si="1"/>
        <v>6.502568181818182</v>
      </c>
      <c r="R74" s="12">
        <v>4257.3999999999996</v>
      </c>
      <c r="S74" s="12">
        <v>3797.86</v>
      </c>
      <c r="T74" s="12">
        <v>68.61</v>
      </c>
      <c r="U74" s="12">
        <v>50.38</v>
      </c>
      <c r="V74" s="12">
        <v>1</v>
      </c>
    </row>
    <row r="75" spans="1:22" x14ac:dyDescent="0.25">
      <c r="A75" s="12">
        <v>2024</v>
      </c>
      <c r="B75" s="12" t="s">
        <v>396</v>
      </c>
      <c r="C75" s="12" t="s">
        <v>202</v>
      </c>
      <c r="D75" s="12" t="s">
        <v>203</v>
      </c>
      <c r="E75" s="12" t="s">
        <v>204</v>
      </c>
      <c r="F75" s="12" t="s">
        <v>410</v>
      </c>
      <c r="G75" s="12">
        <v>204</v>
      </c>
      <c r="H75" s="12">
        <v>4</v>
      </c>
      <c r="I75" s="12">
        <v>2</v>
      </c>
      <c r="J75" s="12">
        <v>1</v>
      </c>
      <c r="K75" s="12">
        <v>8</v>
      </c>
      <c r="L75" s="13" t="s">
        <v>69</v>
      </c>
      <c r="M75" s="13" t="s">
        <v>30</v>
      </c>
      <c r="N75" s="12">
        <v>7.63</v>
      </c>
      <c r="O75" s="12">
        <v>14.6</v>
      </c>
      <c r="P75" s="12">
        <v>39.1</v>
      </c>
      <c r="Q75" s="26">
        <f t="shared" si="1"/>
        <v>7.4045681818181821</v>
      </c>
      <c r="R75" s="12">
        <v>4847.96</v>
      </c>
      <c r="S75" s="12">
        <v>4324.67</v>
      </c>
      <c r="T75" s="12">
        <v>64.58</v>
      </c>
      <c r="U75" s="12">
        <v>43.83</v>
      </c>
      <c r="V75" s="12">
        <v>1</v>
      </c>
    </row>
    <row r="76" spans="1:22" x14ac:dyDescent="0.25">
      <c r="A76" s="12">
        <v>2024</v>
      </c>
      <c r="B76" s="12" t="s">
        <v>396</v>
      </c>
      <c r="C76" s="12" t="s">
        <v>202</v>
      </c>
      <c r="D76" s="12" t="s">
        <v>203</v>
      </c>
      <c r="E76" s="12" t="s">
        <v>204</v>
      </c>
      <c r="F76" s="12" t="s">
        <v>411</v>
      </c>
      <c r="G76" s="12">
        <v>205</v>
      </c>
      <c r="H76" s="12">
        <v>5</v>
      </c>
      <c r="I76" s="12">
        <v>2</v>
      </c>
      <c r="J76" s="12">
        <v>2</v>
      </c>
      <c r="K76" s="12">
        <v>8</v>
      </c>
      <c r="L76" s="13" t="s">
        <v>69</v>
      </c>
      <c r="M76" s="13" t="s">
        <v>30</v>
      </c>
      <c r="N76" s="12">
        <v>8.5299999999999994</v>
      </c>
      <c r="O76" s="12">
        <v>14.5</v>
      </c>
      <c r="P76" s="12">
        <v>38</v>
      </c>
      <c r="Q76" s="26">
        <f t="shared" si="1"/>
        <v>8.287670454545454</v>
      </c>
      <c r="R76" s="12">
        <v>5426.15</v>
      </c>
      <c r="S76" s="12">
        <v>4840.45</v>
      </c>
      <c r="T76" s="12">
        <v>63.87</v>
      </c>
      <c r="U76" s="12">
        <v>41.14</v>
      </c>
      <c r="V76" s="12">
        <v>1</v>
      </c>
    </row>
    <row r="77" spans="1:22" x14ac:dyDescent="0.25">
      <c r="A77" s="12">
        <v>2024</v>
      </c>
      <c r="B77" s="12" t="s">
        <v>396</v>
      </c>
      <c r="C77" s="12" t="s">
        <v>202</v>
      </c>
      <c r="D77" s="12" t="s">
        <v>203</v>
      </c>
      <c r="E77" s="12" t="s">
        <v>204</v>
      </c>
      <c r="F77" s="12" t="s">
        <v>412</v>
      </c>
      <c r="G77" s="12">
        <v>206</v>
      </c>
      <c r="H77" s="12">
        <v>6</v>
      </c>
      <c r="I77" s="12">
        <v>2</v>
      </c>
      <c r="J77" s="12">
        <v>2</v>
      </c>
      <c r="K77" s="12">
        <v>15</v>
      </c>
      <c r="L77" s="13" t="s">
        <v>336</v>
      </c>
      <c r="M77" s="13" t="s">
        <v>53</v>
      </c>
      <c r="N77" s="12">
        <v>5.08</v>
      </c>
      <c r="O77" s="12">
        <v>13.6</v>
      </c>
      <c r="P77" s="12">
        <v>35.700000000000003</v>
      </c>
      <c r="Q77" s="26">
        <f t="shared" si="1"/>
        <v>4.9876363636363639</v>
      </c>
      <c r="R77" s="12">
        <v>3265.53</v>
      </c>
      <c r="S77" s="12">
        <v>2913.05</v>
      </c>
      <c r="T77" s="12">
        <v>63.21</v>
      </c>
      <c r="U77" s="12">
        <v>46.83</v>
      </c>
      <c r="V77" s="12">
        <v>0</v>
      </c>
    </row>
    <row r="78" spans="1:22" x14ac:dyDescent="0.25">
      <c r="A78" s="12">
        <v>2024</v>
      </c>
      <c r="B78" s="12" t="s">
        <v>396</v>
      </c>
      <c r="C78" s="12" t="s">
        <v>202</v>
      </c>
      <c r="D78" s="12" t="s">
        <v>203</v>
      </c>
      <c r="E78" s="12" t="s">
        <v>204</v>
      </c>
      <c r="F78" s="12" t="s">
        <v>413</v>
      </c>
      <c r="G78" s="12">
        <v>207</v>
      </c>
      <c r="H78" s="12">
        <v>7</v>
      </c>
      <c r="I78" s="12">
        <v>2</v>
      </c>
      <c r="J78" s="12">
        <v>2</v>
      </c>
      <c r="K78" s="12">
        <v>6</v>
      </c>
      <c r="L78" s="13" t="s">
        <v>339</v>
      </c>
      <c r="M78" s="13" t="s">
        <v>53</v>
      </c>
      <c r="N78" s="12">
        <v>8.15</v>
      </c>
      <c r="O78" s="12">
        <v>15.6</v>
      </c>
      <c r="P78" s="12">
        <v>42.5</v>
      </c>
      <c r="Q78" s="26">
        <f t="shared" si="1"/>
        <v>7.8165909090909098</v>
      </c>
      <c r="R78" s="12">
        <v>5117.72</v>
      </c>
      <c r="S78" s="12">
        <v>4565.32</v>
      </c>
      <c r="T78" s="12">
        <v>65.25</v>
      </c>
      <c r="U78" s="12">
        <v>54.93</v>
      </c>
      <c r="V78" s="12">
        <v>1</v>
      </c>
    </row>
    <row r="79" spans="1:22" x14ac:dyDescent="0.25">
      <c r="A79" s="12">
        <v>2024</v>
      </c>
      <c r="B79" s="12" t="s">
        <v>396</v>
      </c>
      <c r="C79" s="12" t="s">
        <v>202</v>
      </c>
      <c r="D79" s="12" t="s">
        <v>203</v>
      </c>
      <c r="E79" s="12" t="s">
        <v>204</v>
      </c>
      <c r="F79" s="12" t="s">
        <v>414</v>
      </c>
      <c r="G79" s="12">
        <v>208</v>
      </c>
      <c r="H79" s="12">
        <v>8</v>
      </c>
      <c r="I79" s="12">
        <v>2</v>
      </c>
      <c r="J79" s="12">
        <v>3</v>
      </c>
      <c r="K79" s="12">
        <v>11</v>
      </c>
      <c r="L79" s="13" t="s">
        <v>27</v>
      </c>
      <c r="M79" s="13" t="s">
        <v>30</v>
      </c>
      <c r="N79" s="12">
        <v>8.15</v>
      </c>
      <c r="O79" s="12">
        <v>14.8</v>
      </c>
      <c r="P79" s="12">
        <v>43.4</v>
      </c>
      <c r="Q79" s="26">
        <f t="shared" si="1"/>
        <v>7.890681818181819</v>
      </c>
      <c r="R79" s="12">
        <v>5166.2299999999996</v>
      </c>
      <c r="S79" s="12">
        <v>4608.59</v>
      </c>
      <c r="T79" s="12">
        <v>68.8</v>
      </c>
      <c r="U79" s="12">
        <v>49.52</v>
      </c>
      <c r="V79" s="12">
        <v>1</v>
      </c>
    </row>
    <row r="80" spans="1:22" x14ac:dyDescent="0.25">
      <c r="A80" s="12">
        <v>2024</v>
      </c>
      <c r="B80" s="12" t="s">
        <v>396</v>
      </c>
      <c r="C80" s="12" t="s">
        <v>202</v>
      </c>
      <c r="D80" s="12" t="s">
        <v>203</v>
      </c>
      <c r="E80" s="12" t="s">
        <v>204</v>
      </c>
      <c r="F80" s="12" t="s">
        <v>415</v>
      </c>
      <c r="G80" s="12">
        <v>209</v>
      </c>
      <c r="H80" s="12">
        <v>9</v>
      </c>
      <c r="I80" s="12">
        <v>2</v>
      </c>
      <c r="J80" s="12">
        <v>3</v>
      </c>
      <c r="K80" s="12">
        <v>4</v>
      </c>
      <c r="L80" s="13" t="s">
        <v>339</v>
      </c>
      <c r="M80" s="13" t="s">
        <v>538</v>
      </c>
      <c r="N80" s="12">
        <v>8.8800000000000008</v>
      </c>
      <c r="O80" s="12">
        <v>14.7</v>
      </c>
      <c r="P80" s="12">
        <v>43</v>
      </c>
      <c r="Q80" s="26">
        <f t="shared" si="1"/>
        <v>8.6075454545454555</v>
      </c>
      <c r="R80" s="12">
        <v>5635.58</v>
      </c>
      <c r="S80" s="12">
        <v>5027.28</v>
      </c>
      <c r="T80" s="12">
        <v>65.66</v>
      </c>
      <c r="U80" s="12">
        <v>52.88</v>
      </c>
      <c r="V80" s="12">
        <v>1</v>
      </c>
    </row>
    <row r="81" spans="1:22" x14ac:dyDescent="0.25">
      <c r="A81" s="12">
        <v>2024</v>
      </c>
      <c r="B81" s="12" t="s">
        <v>396</v>
      </c>
      <c r="C81" s="12" t="s">
        <v>202</v>
      </c>
      <c r="D81" s="12" t="s">
        <v>203</v>
      </c>
      <c r="E81" s="12" t="s">
        <v>204</v>
      </c>
      <c r="F81" s="12" t="s">
        <v>416</v>
      </c>
      <c r="G81" s="12">
        <v>210</v>
      </c>
      <c r="H81" s="12">
        <v>10</v>
      </c>
      <c r="I81" s="12">
        <v>2</v>
      </c>
      <c r="J81" s="12">
        <v>3</v>
      </c>
      <c r="K81" s="12">
        <v>6</v>
      </c>
      <c r="L81" s="13" t="s">
        <v>339</v>
      </c>
      <c r="M81" s="13" t="s">
        <v>53</v>
      </c>
      <c r="N81" s="12">
        <v>9.1199999999999992</v>
      </c>
      <c r="O81" s="12">
        <v>15.2</v>
      </c>
      <c r="P81" s="12">
        <v>44.5</v>
      </c>
      <c r="Q81" s="26">
        <f t="shared" si="1"/>
        <v>8.7883636363636359</v>
      </c>
      <c r="R81" s="12">
        <v>5753.96</v>
      </c>
      <c r="S81" s="12">
        <v>5132.8900000000003</v>
      </c>
      <c r="T81" s="12">
        <v>65.64</v>
      </c>
      <c r="U81" s="12">
        <v>54.6</v>
      </c>
      <c r="V81" s="12">
        <v>1</v>
      </c>
    </row>
    <row r="82" spans="1:22" x14ac:dyDescent="0.25">
      <c r="A82" s="12">
        <v>2024</v>
      </c>
      <c r="B82" s="12" t="s">
        <v>396</v>
      </c>
      <c r="C82" s="12" t="s">
        <v>202</v>
      </c>
      <c r="D82" s="12" t="s">
        <v>203</v>
      </c>
      <c r="E82" s="12" t="s">
        <v>204</v>
      </c>
      <c r="F82" s="12" t="s">
        <v>417</v>
      </c>
      <c r="G82" s="12">
        <v>301</v>
      </c>
      <c r="H82" s="12">
        <v>1</v>
      </c>
      <c r="I82" s="12">
        <v>3</v>
      </c>
      <c r="J82" s="12">
        <v>1</v>
      </c>
      <c r="K82" s="12">
        <v>17</v>
      </c>
      <c r="L82" s="13" t="s">
        <v>42</v>
      </c>
      <c r="M82" s="13" t="s">
        <v>30</v>
      </c>
      <c r="N82" s="12">
        <v>7.99</v>
      </c>
      <c r="O82" s="12">
        <v>15.2</v>
      </c>
      <c r="P82" s="12">
        <v>38.799999999999997</v>
      </c>
      <c r="Q82" s="26">
        <f t="shared" si="1"/>
        <v>7.6994545454545458</v>
      </c>
      <c r="R82" s="12">
        <v>5041.03</v>
      </c>
      <c r="S82" s="12">
        <v>4496.8999999999996</v>
      </c>
      <c r="T82" s="12">
        <v>67.25</v>
      </c>
      <c r="U82" s="12">
        <v>56.92</v>
      </c>
      <c r="V82" s="12">
        <v>1</v>
      </c>
    </row>
    <row r="83" spans="1:22" x14ac:dyDescent="0.25">
      <c r="A83" s="12">
        <v>2024</v>
      </c>
      <c r="B83" s="12" t="s">
        <v>396</v>
      </c>
      <c r="C83" s="12" t="s">
        <v>202</v>
      </c>
      <c r="D83" s="12" t="s">
        <v>203</v>
      </c>
      <c r="E83" s="12" t="s">
        <v>204</v>
      </c>
      <c r="F83" s="12" t="s">
        <v>418</v>
      </c>
      <c r="G83" s="12">
        <v>302</v>
      </c>
      <c r="H83" s="12">
        <v>2</v>
      </c>
      <c r="I83" s="12">
        <v>3</v>
      </c>
      <c r="J83" s="12">
        <v>1</v>
      </c>
      <c r="K83" s="12">
        <v>16</v>
      </c>
      <c r="L83" s="13" t="s">
        <v>42</v>
      </c>
      <c r="M83" s="13" t="s">
        <v>538</v>
      </c>
      <c r="N83" s="12">
        <v>7.54</v>
      </c>
      <c r="O83" s="12">
        <v>14.8</v>
      </c>
      <c r="P83" s="12">
        <v>39.200000000000003</v>
      </c>
      <c r="Q83" s="26">
        <f t="shared" si="1"/>
        <v>7.3000909090909092</v>
      </c>
      <c r="R83" s="12">
        <v>4779.5600000000004</v>
      </c>
      <c r="S83" s="12">
        <v>4263.6499999999996</v>
      </c>
      <c r="T83" s="12">
        <v>66.69</v>
      </c>
      <c r="U83" s="12">
        <v>54.99</v>
      </c>
      <c r="V83" s="12">
        <v>1</v>
      </c>
    </row>
    <row r="84" spans="1:22" x14ac:dyDescent="0.25">
      <c r="A84" s="12">
        <v>2024</v>
      </c>
      <c r="B84" s="12" t="s">
        <v>396</v>
      </c>
      <c r="C84" s="12" t="s">
        <v>202</v>
      </c>
      <c r="D84" s="12" t="s">
        <v>203</v>
      </c>
      <c r="E84" s="12" t="s">
        <v>204</v>
      </c>
      <c r="F84" s="12" t="s">
        <v>419</v>
      </c>
      <c r="G84" s="12">
        <v>303</v>
      </c>
      <c r="H84" s="12">
        <v>3</v>
      </c>
      <c r="I84" s="12">
        <v>3</v>
      </c>
      <c r="J84" s="12">
        <v>1</v>
      </c>
      <c r="K84" s="12">
        <v>7</v>
      </c>
      <c r="L84" s="13" t="s">
        <v>69</v>
      </c>
      <c r="M84" s="13" t="s">
        <v>538</v>
      </c>
      <c r="N84" s="12">
        <v>6.65</v>
      </c>
      <c r="O84" s="12">
        <v>14.5</v>
      </c>
      <c r="P84" s="12">
        <v>36.299999999999997</v>
      </c>
      <c r="Q84" s="26">
        <f t="shared" si="1"/>
        <v>6.4610795454545462</v>
      </c>
      <c r="R84" s="12">
        <v>4230.2299999999996</v>
      </c>
      <c r="S84" s="12">
        <v>3773.62</v>
      </c>
      <c r="T84" s="12">
        <v>64.69</v>
      </c>
      <c r="U84" s="12">
        <v>41.39</v>
      </c>
      <c r="V84" s="12">
        <v>2</v>
      </c>
    </row>
    <row r="85" spans="1:22" x14ac:dyDescent="0.25">
      <c r="A85" s="12">
        <v>2024</v>
      </c>
      <c r="B85" s="12" t="s">
        <v>396</v>
      </c>
      <c r="C85" s="12" t="s">
        <v>202</v>
      </c>
      <c r="D85" s="12" t="s">
        <v>203</v>
      </c>
      <c r="E85" s="12" t="s">
        <v>204</v>
      </c>
      <c r="F85" s="12" t="s">
        <v>420</v>
      </c>
      <c r="G85" s="12">
        <v>304</v>
      </c>
      <c r="H85" s="12">
        <v>4</v>
      </c>
      <c r="I85" s="12">
        <v>3</v>
      </c>
      <c r="J85" s="12">
        <v>2</v>
      </c>
      <c r="K85" s="12">
        <v>19</v>
      </c>
      <c r="L85" s="13" t="s">
        <v>113</v>
      </c>
      <c r="M85" s="13" t="s">
        <v>538</v>
      </c>
      <c r="N85" s="12">
        <v>8.4</v>
      </c>
      <c r="O85" s="12">
        <v>14.1</v>
      </c>
      <c r="P85" s="12">
        <v>39.5</v>
      </c>
      <c r="Q85" s="26">
        <f t="shared" si="1"/>
        <v>8.1995454545454542</v>
      </c>
      <c r="R85" s="12">
        <v>5368.45</v>
      </c>
      <c r="S85" s="12">
        <v>4788.9799999999996</v>
      </c>
      <c r="T85" s="12">
        <v>63.25</v>
      </c>
      <c r="U85" s="12">
        <v>34.229999999999997</v>
      </c>
      <c r="V85" s="12">
        <v>1</v>
      </c>
    </row>
    <row r="86" spans="1:22" x14ac:dyDescent="0.25">
      <c r="A86" s="12">
        <v>2024</v>
      </c>
      <c r="B86" s="12" t="s">
        <v>396</v>
      </c>
      <c r="C86" s="12" t="s">
        <v>202</v>
      </c>
      <c r="D86" s="12" t="s">
        <v>203</v>
      </c>
      <c r="E86" s="12" t="s">
        <v>204</v>
      </c>
      <c r="F86" s="12" t="s">
        <v>421</v>
      </c>
      <c r="G86" s="12">
        <v>305</v>
      </c>
      <c r="H86" s="12">
        <v>5</v>
      </c>
      <c r="I86" s="12">
        <v>3</v>
      </c>
      <c r="J86" s="12">
        <v>2</v>
      </c>
      <c r="K86" s="12">
        <v>4</v>
      </c>
      <c r="L86" s="13" t="s">
        <v>339</v>
      </c>
      <c r="M86" s="13" t="s">
        <v>538</v>
      </c>
      <c r="N86" s="12">
        <v>8.83</v>
      </c>
      <c r="O86" s="12">
        <v>15.5</v>
      </c>
      <c r="P86" s="12">
        <v>44.6</v>
      </c>
      <c r="Q86" s="26">
        <f t="shared" si="1"/>
        <v>8.4788068181818179</v>
      </c>
      <c r="R86" s="12">
        <v>5551.29</v>
      </c>
      <c r="S86" s="12">
        <v>4952.09</v>
      </c>
      <c r="T86" s="12">
        <v>66.260000000000005</v>
      </c>
      <c r="U86" s="12">
        <v>54.17</v>
      </c>
      <c r="V86" s="12">
        <v>1</v>
      </c>
    </row>
    <row r="87" spans="1:22" x14ac:dyDescent="0.25">
      <c r="A87" s="12">
        <v>2024</v>
      </c>
      <c r="B87" s="12" t="s">
        <v>396</v>
      </c>
      <c r="C87" s="12" t="s">
        <v>202</v>
      </c>
      <c r="D87" s="12" t="s">
        <v>203</v>
      </c>
      <c r="E87" s="12" t="s">
        <v>204</v>
      </c>
      <c r="F87" s="12" t="s">
        <v>422</v>
      </c>
      <c r="G87" s="12">
        <v>306</v>
      </c>
      <c r="H87" s="12">
        <v>6</v>
      </c>
      <c r="I87" s="12">
        <v>3</v>
      </c>
      <c r="J87" s="12">
        <v>2</v>
      </c>
      <c r="K87" s="12">
        <v>12</v>
      </c>
      <c r="L87" s="13" t="s">
        <v>27</v>
      </c>
      <c r="M87" s="13" t="s">
        <v>53</v>
      </c>
      <c r="N87" s="12">
        <v>8.14</v>
      </c>
      <c r="O87" s="12">
        <v>15</v>
      </c>
      <c r="P87" s="12">
        <v>42.4</v>
      </c>
      <c r="Q87" s="26">
        <f t="shared" si="1"/>
        <v>7.8625000000000007</v>
      </c>
      <c r="R87" s="12">
        <v>5147.78</v>
      </c>
      <c r="S87" s="12">
        <v>4592.13</v>
      </c>
      <c r="T87" s="12">
        <v>69.849999999999994</v>
      </c>
      <c r="U87" s="12">
        <v>54.99</v>
      </c>
      <c r="V87" s="12">
        <v>1</v>
      </c>
    </row>
    <row r="88" spans="1:22" x14ac:dyDescent="0.25">
      <c r="A88" s="12">
        <v>2024</v>
      </c>
      <c r="B88" s="12" t="s">
        <v>396</v>
      </c>
      <c r="C88" s="12" t="s">
        <v>202</v>
      </c>
      <c r="D88" s="12" t="s">
        <v>203</v>
      </c>
      <c r="E88" s="12" t="s">
        <v>204</v>
      </c>
      <c r="F88" s="12" t="s">
        <v>423</v>
      </c>
      <c r="G88" s="12">
        <v>307</v>
      </c>
      <c r="H88" s="12">
        <v>7</v>
      </c>
      <c r="I88" s="12">
        <v>3</v>
      </c>
      <c r="J88" s="12">
        <v>2</v>
      </c>
      <c r="K88" s="12">
        <v>17</v>
      </c>
      <c r="L88" s="13" t="s">
        <v>42</v>
      </c>
      <c r="M88" s="13" t="s">
        <v>30</v>
      </c>
      <c r="N88" s="12">
        <v>9.3699999999999992</v>
      </c>
      <c r="O88" s="12">
        <v>14.6</v>
      </c>
      <c r="P88" s="12">
        <v>40</v>
      </c>
      <c r="Q88" s="26">
        <f t="shared" si="1"/>
        <v>9.09315909090909</v>
      </c>
      <c r="R88" s="12">
        <v>5953.52</v>
      </c>
      <c r="S88" s="12">
        <v>5310.9</v>
      </c>
      <c r="T88" s="12">
        <v>68.39</v>
      </c>
      <c r="U88" s="12">
        <v>59.85</v>
      </c>
      <c r="V88" s="12">
        <v>1</v>
      </c>
    </row>
    <row r="89" spans="1:22" x14ac:dyDescent="0.25">
      <c r="A89" s="12">
        <v>2024</v>
      </c>
      <c r="B89" s="12" t="s">
        <v>396</v>
      </c>
      <c r="C89" s="12" t="s">
        <v>202</v>
      </c>
      <c r="D89" s="12" t="s">
        <v>203</v>
      </c>
      <c r="E89" s="12" t="s">
        <v>204</v>
      </c>
      <c r="F89" s="12" t="s">
        <v>424</v>
      </c>
      <c r="G89" s="12">
        <v>308</v>
      </c>
      <c r="H89" s="12">
        <v>8</v>
      </c>
      <c r="I89" s="12">
        <v>3</v>
      </c>
      <c r="J89" s="12">
        <v>3</v>
      </c>
      <c r="K89" s="12">
        <v>17</v>
      </c>
      <c r="L89" s="13" t="s">
        <v>42</v>
      </c>
      <c r="M89" s="13" t="s">
        <v>30</v>
      </c>
      <c r="N89" s="12">
        <v>9.31</v>
      </c>
      <c r="O89" s="12">
        <v>14.8</v>
      </c>
      <c r="P89" s="12">
        <v>41.7</v>
      </c>
      <c r="Q89" s="26">
        <f t="shared" si="1"/>
        <v>9.0137727272727268</v>
      </c>
      <c r="R89" s="12">
        <v>5901.55</v>
      </c>
      <c r="S89" s="12">
        <v>5264.54</v>
      </c>
      <c r="T89" s="12">
        <v>69.290000000000006</v>
      </c>
      <c r="U89" s="12">
        <v>59.97</v>
      </c>
      <c r="V89" s="12">
        <v>1</v>
      </c>
    </row>
    <row r="90" spans="1:22" x14ac:dyDescent="0.25">
      <c r="A90" s="12">
        <v>2024</v>
      </c>
      <c r="B90" s="12" t="s">
        <v>396</v>
      </c>
      <c r="C90" s="12" t="s">
        <v>202</v>
      </c>
      <c r="D90" s="12" t="s">
        <v>203</v>
      </c>
      <c r="E90" s="12" t="s">
        <v>204</v>
      </c>
      <c r="F90" s="12" t="s">
        <v>425</v>
      </c>
      <c r="G90" s="12">
        <v>309</v>
      </c>
      <c r="H90" s="12">
        <v>9</v>
      </c>
      <c r="I90" s="12">
        <v>3</v>
      </c>
      <c r="J90" s="12">
        <v>3</v>
      </c>
      <c r="K90" s="12">
        <v>3</v>
      </c>
      <c r="L90" s="13" t="s">
        <v>100</v>
      </c>
      <c r="M90" s="13" t="s">
        <v>53</v>
      </c>
      <c r="N90" s="12">
        <v>8.6</v>
      </c>
      <c r="O90" s="12">
        <v>13.7</v>
      </c>
      <c r="P90" s="12">
        <v>38.1</v>
      </c>
      <c r="Q90" s="26">
        <f t="shared" si="1"/>
        <v>8.4338636363636361</v>
      </c>
      <c r="R90" s="12">
        <v>5521.86</v>
      </c>
      <c r="S90" s="12">
        <v>4925.84</v>
      </c>
      <c r="T90" s="12">
        <v>65</v>
      </c>
      <c r="U90" s="12">
        <v>38.75</v>
      </c>
      <c r="V90" s="12">
        <v>1</v>
      </c>
    </row>
    <row r="91" spans="1:22" x14ac:dyDescent="0.25">
      <c r="A91" s="12">
        <v>2024</v>
      </c>
      <c r="B91" s="12" t="s">
        <v>396</v>
      </c>
      <c r="C91" s="12" t="s">
        <v>202</v>
      </c>
      <c r="D91" s="12" t="s">
        <v>203</v>
      </c>
      <c r="E91" s="12" t="s">
        <v>204</v>
      </c>
      <c r="F91" s="12" t="s">
        <v>426</v>
      </c>
      <c r="G91" s="12">
        <v>310</v>
      </c>
      <c r="H91" s="12">
        <v>10</v>
      </c>
      <c r="I91" s="12">
        <v>3</v>
      </c>
      <c r="J91" s="12">
        <v>3</v>
      </c>
      <c r="K91" s="12">
        <v>7</v>
      </c>
      <c r="L91" s="13" t="s">
        <v>69</v>
      </c>
      <c r="M91" s="13" t="s">
        <v>538</v>
      </c>
      <c r="N91" s="12">
        <v>8.76</v>
      </c>
      <c r="O91" s="12">
        <v>14</v>
      </c>
      <c r="P91" s="12">
        <v>40.700000000000003</v>
      </c>
      <c r="Q91" s="26">
        <f t="shared" si="1"/>
        <v>8.5609090909090906</v>
      </c>
      <c r="R91" s="12">
        <v>5605.04</v>
      </c>
      <c r="S91" s="12">
        <v>5000.04</v>
      </c>
      <c r="T91" s="12">
        <v>65.400000000000006</v>
      </c>
      <c r="U91" s="12">
        <v>46.11</v>
      </c>
      <c r="V91" s="12">
        <v>2</v>
      </c>
    </row>
    <row r="92" spans="1:22" x14ac:dyDescent="0.25">
      <c r="A92" s="12">
        <v>2024</v>
      </c>
      <c r="B92" s="12" t="s">
        <v>396</v>
      </c>
      <c r="C92" s="12" t="s">
        <v>202</v>
      </c>
      <c r="D92" s="12" t="s">
        <v>203</v>
      </c>
      <c r="E92" s="12" t="s">
        <v>204</v>
      </c>
      <c r="F92" s="12" t="s">
        <v>427</v>
      </c>
      <c r="G92" s="12">
        <v>401</v>
      </c>
      <c r="H92" s="12">
        <v>1</v>
      </c>
      <c r="I92" s="12">
        <v>4</v>
      </c>
      <c r="J92" s="12">
        <v>1</v>
      </c>
      <c r="K92" s="12">
        <v>10</v>
      </c>
      <c r="L92" s="13" t="s">
        <v>27</v>
      </c>
      <c r="M92" s="13" t="s">
        <v>538</v>
      </c>
      <c r="N92" s="12">
        <v>5.61</v>
      </c>
      <c r="O92" s="12">
        <v>15.1</v>
      </c>
      <c r="P92" s="12">
        <v>37</v>
      </c>
      <c r="Q92" s="26">
        <f t="shared" si="1"/>
        <v>5.4123750000000008</v>
      </c>
      <c r="R92" s="12">
        <v>3543.62</v>
      </c>
      <c r="S92" s="12">
        <v>3161.12</v>
      </c>
      <c r="T92" s="12">
        <v>67.16</v>
      </c>
      <c r="U92" s="12">
        <v>43.23</v>
      </c>
      <c r="V92" s="12">
        <v>1</v>
      </c>
    </row>
    <row r="93" spans="1:22" x14ac:dyDescent="0.25">
      <c r="A93" s="12">
        <v>2024</v>
      </c>
      <c r="B93" s="12" t="s">
        <v>396</v>
      </c>
      <c r="C93" s="12" t="s">
        <v>202</v>
      </c>
      <c r="D93" s="12" t="s">
        <v>203</v>
      </c>
      <c r="E93" s="12" t="s">
        <v>204</v>
      </c>
      <c r="F93" s="12" t="s">
        <v>428</v>
      </c>
      <c r="G93" s="12">
        <v>402</v>
      </c>
      <c r="H93" s="12">
        <v>2</v>
      </c>
      <c r="I93" s="12">
        <v>4</v>
      </c>
      <c r="J93" s="12">
        <v>1</v>
      </c>
      <c r="K93" s="12">
        <v>13</v>
      </c>
      <c r="L93" s="13" t="s">
        <v>336</v>
      </c>
      <c r="M93" s="13" t="s">
        <v>538</v>
      </c>
      <c r="N93" s="12">
        <v>4.3099999999999996</v>
      </c>
      <c r="O93" s="12">
        <v>13.6</v>
      </c>
      <c r="P93" s="12">
        <v>29.6</v>
      </c>
      <c r="Q93" s="26">
        <f t="shared" si="1"/>
        <v>4.2316363636363628</v>
      </c>
      <c r="R93" s="12">
        <v>2770.56</v>
      </c>
      <c r="S93" s="12">
        <v>2471.5100000000002</v>
      </c>
      <c r="T93" s="12">
        <v>58.95</v>
      </c>
      <c r="U93" s="12">
        <v>32.08</v>
      </c>
      <c r="V93" s="12">
        <v>1</v>
      </c>
    </row>
    <row r="94" spans="1:22" x14ac:dyDescent="0.25">
      <c r="A94" s="12">
        <v>2024</v>
      </c>
      <c r="B94" s="12" t="s">
        <v>396</v>
      </c>
      <c r="C94" s="12" t="s">
        <v>202</v>
      </c>
      <c r="D94" s="12" t="s">
        <v>203</v>
      </c>
      <c r="E94" s="12" t="s">
        <v>204</v>
      </c>
      <c r="F94" s="12" t="s">
        <v>429</v>
      </c>
      <c r="G94" s="12">
        <v>403</v>
      </c>
      <c r="H94" s="12">
        <v>3</v>
      </c>
      <c r="I94" s="12">
        <v>4</v>
      </c>
      <c r="J94" s="12">
        <v>1</v>
      </c>
      <c r="K94" s="12">
        <v>1</v>
      </c>
      <c r="L94" s="13" t="s">
        <v>100</v>
      </c>
      <c r="M94" s="13" t="s">
        <v>538</v>
      </c>
      <c r="N94" s="12">
        <v>7.24</v>
      </c>
      <c r="O94" s="12">
        <v>14</v>
      </c>
      <c r="P94" s="12">
        <v>35</v>
      </c>
      <c r="Q94" s="26">
        <f t="shared" si="1"/>
        <v>7.0754545454545452</v>
      </c>
      <c r="R94" s="12">
        <v>4632.4799999999996</v>
      </c>
      <c r="S94" s="12">
        <v>4132.45</v>
      </c>
      <c r="T94" s="12">
        <v>62.67</v>
      </c>
      <c r="U94" s="12">
        <v>34</v>
      </c>
      <c r="V94" s="12">
        <v>1</v>
      </c>
    </row>
    <row r="95" spans="1:22" x14ac:dyDescent="0.25">
      <c r="A95" s="12">
        <v>2024</v>
      </c>
      <c r="B95" s="12" t="s">
        <v>396</v>
      </c>
      <c r="C95" s="12" t="s">
        <v>202</v>
      </c>
      <c r="D95" s="12" t="s">
        <v>203</v>
      </c>
      <c r="E95" s="12" t="s">
        <v>204</v>
      </c>
      <c r="F95" s="12" t="s">
        <v>430</v>
      </c>
      <c r="G95" s="12">
        <v>404</v>
      </c>
      <c r="H95" s="12">
        <v>4</v>
      </c>
      <c r="I95" s="12">
        <v>4</v>
      </c>
      <c r="J95" s="12">
        <v>2</v>
      </c>
      <c r="K95" s="12">
        <v>3</v>
      </c>
      <c r="L95" s="13" t="s">
        <v>100</v>
      </c>
      <c r="M95" s="13" t="s">
        <v>53</v>
      </c>
      <c r="N95" s="12">
        <v>7.43</v>
      </c>
      <c r="O95" s="12">
        <v>14.6</v>
      </c>
      <c r="P95" s="12">
        <v>37.1</v>
      </c>
      <c r="Q95" s="26">
        <f t="shared" si="1"/>
        <v>7.2104772727272719</v>
      </c>
      <c r="R95" s="12">
        <v>4720.88</v>
      </c>
      <c r="S95" s="12">
        <v>4211.3100000000004</v>
      </c>
      <c r="T95" s="12">
        <v>64.16</v>
      </c>
      <c r="U95" s="12">
        <v>35.68</v>
      </c>
      <c r="V95" s="12">
        <v>1</v>
      </c>
    </row>
    <row r="96" spans="1:22" x14ac:dyDescent="0.25">
      <c r="A96" s="12">
        <v>2024</v>
      </c>
      <c r="B96" s="12" t="s">
        <v>396</v>
      </c>
      <c r="C96" s="12" t="s">
        <v>202</v>
      </c>
      <c r="D96" s="12" t="s">
        <v>203</v>
      </c>
      <c r="E96" s="12" t="s">
        <v>204</v>
      </c>
      <c r="F96" s="12" t="s">
        <v>431</v>
      </c>
      <c r="G96" s="12">
        <v>405</v>
      </c>
      <c r="H96" s="12">
        <v>5</v>
      </c>
      <c r="I96" s="12">
        <v>4</v>
      </c>
      <c r="J96" s="12">
        <v>2</v>
      </c>
      <c r="K96" s="12">
        <v>1</v>
      </c>
      <c r="L96" s="13" t="s">
        <v>100</v>
      </c>
      <c r="M96" s="13" t="s">
        <v>538</v>
      </c>
      <c r="N96" s="12">
        <v>7.74</v>
      </c>
      <c r="O96" s="12">
        <v>14</v>
      </c>
      <c r="P96" s="12">
        <v>37.5</v>
      </c>
      <c r="Q96" s="26">
        <f t="shared" si="1"/>
        <v>7.5640909090909085</v>
      </c>
      <c r="R96" s="12">
        <v>4952.3999999999996</v>
      </c>
      <c r="S96" s="12">
        <v>4417.84</v>
      </c>
      <c r="T96" s="12">
        <v>63.03</v>
      </c>
      <c r="U96" s="12">
        <v>32.049999999999997</v>
      </c>
      <c r="V96" s="12">
        <v>2</v>
      </c>
    </row>
    <row r="97" spans="1:22" x14ac:dyDescent="0.25">
      <c r="A97" s="12">
        <v>2024</v>
      </c>
      <c r="B97" s="12" t="s">
        <v>396</v>
      </c>
      <c r="C97" s="12" t="s">
        <v>202</v>
      </c>
      <c r="D97" s="12" t="s">
        <v>203</v>
      </c>
      <c r="E97" s="12" t="s">
        <v>204</v>
      </c>
      <c r="F97" s="12" t="s">
        <v>432</v>
      </c>
      <c r="G97" s="12">
        <v>406</v>
      </c>
      <c r="H97" s="12">
        <v>6</v>
      </c>
      <c r="I97" s="12">
        <v>4</v>
      </c>
      <c r="J97" s="12">
        <v>2</v>
      </c>
      <c r="K97" s="12">
        <v>14</v>
      </c>
      <c r="L97" s="13" t="s">
        <v>336</v>
      </c>
      <c r="M97" s="13" t="s">
        <v>30</v>
      </c>
      <c r="N97" s="12">
        <v>4.49</v>
      </c>
      <c r="O97" s="12">
        <v>13.1</v>
      </c>
      <c r="P97" s="12">
        <v>30.9</v>
      </c>
      <c r="Q97" s="26">
        <f t="shared" si="1"/>
        <v>4.4338750000000005</v>
      </c>
      <c r="R97" s="12">
        <v>2902.97</v>
      </c>
      <c r="S97" s="12">
        <v>2589.63</v>
      </c>
      <c r="T97" s="12">
        <v>60.83</v>
      </c>
      <c r="U97" s="12">
        <v>37.68</v>
      </c>
      <c r="V97" s="12">
        <v>1</v>
      </c>
    </row>
    <row r="98" spans="1:22" x14ac:dyDescent="0.25">
      <c r="A98" s="12">
        <v>2024</v>
      </c>
      <c r="B98" s="12" t="s">
        <v>396</v>
      </c>
      <c r="C98" s="12" t="s">
        <v>202</v>
      </c>
      <c r="D98" s="12" t="s">
        <v>203</v>
      </c>
      <c r="E98" s="12" t="s">
        <v>204</v>
      </c>
      <c r="F98" s="12" t="s">
        <v>433</v>
      </c>
      <c r="G98" s="12">
        <v>407</v>
      </c>
      <c r="H98" s="12">
        <v>7</v>
      </c>
      <c r="I98" s="12">
        <v>4</v>
      </c>
      <c r="J98" s="12">
        <v>2</v>
      </c>
      <c r="K98" s="12">
        <v>7</v>
      </c>
      <c r="L98" s="13" t="s">
        <v>69</v>
      </c>
      <c r="M98" s="13" t="s">
        <v>538</v>
      </c>
      <c r="N98" s="12">
        <v>8.1999999999999993</v>
      </c>
      <c r="O98" s="12">
        <v>14.2</v>
      </c>
      <c r="P98" s="12">
        <v>39.5</v>
      </c>
      <c r="Q98" s="26">
        <f t="shared" si="1"/>
        <v>7.9949999999999992</v>
      </c>
      <c r="R98" s="12">
        <v>5234.53</v>
      </c>
      <c r="S98" s="12">
        <v>4669.5200000000004</v>
      </c>
      <c r="T98" s="12">
        <v>64.75</v>
      </c>
      <c r="U98" s="12">
        <v>41.77</v>
      </c>
      <c r="V98" s="12">
        <v>2</v>
      </c>
    </row>
    <row r="99" spans="1:22" x14ac:dyDescent="0.25">
      <c r="A99" s="12">
        <v>2024</v>
      </c>
      <c r="B99" s="12" t="s">
        <v>396</v>
      </c>
      <c r="C99" s="12" t="s">
        <v>202</v>
      </c>
      <c r="D99" s="12" t="s">
        <v>203</v>
      </c>
      <c r="E99" s="12" t="s">
        <v>204</v>
      </c>
      <c r="F99" s="12" t="s">
        <v>434</v>
      </c>
      <c r="G99" s="12">
        <v>408</v>
      </c>
      <c r="H99" s="12">
        <v>8</v>
      </c>
      <c r="I99" s="12">
        <v>4</v>
      </c>
      <c r="J99" s="12">
        <v>3</v>
      </c>
      <c r="K99" s="12">
        <v>8</v>
      </c>
      <c r="L99" s="13" t="s">
        <v>69</v>
      </c>
      <c r="M99" s="13" t="s">
        <v>30</v>
      </c>
      <c r="N99" s="12">
        <v>8.5299999999999994</v>
      </c>
      <c r="O99" s="12">
        <v>14.2</v>
      </c>
      <c r="P99" s="12">
        <v>39.5</v>
      </c>
      <c r="Q99" s="26">
        <f t="shared" si="1"/>
        <v>8.316749999999999</v>
      </c>
      <c r="R99" s="12">
        <v>5445.19</v>
      </c>
      <c r="S99" s="12">
        <v>4857.4399999999996</v>
      </c>
      <c r="T99" s="12">
        <v>65.41</v>
      </c>
      <c r="U99" s="12">
        <v>44.41</v>
      </c>
      <c r="V99" s="12">
        <v>1</v>
      </c>
    </row>
    <row r="100" spans="1:22" x14ac:dyDescent="0.25">
      <c r="A100" s="12">
        <v>2024</v>
      </c>
      <c r="B100" s="12" t="s">
        <v>396</v>
      </c>
      <c r="C100" s="12" t="s">
        <v>202</v>
      </c>
      <c r="D100" s="12" t="s">
        <v>203</v>
      </c>
      <c r="E100" s="12" t="s">
        <v>204</v>
      </c>
      <c r="F100" s="12" t="s">
        <v>435</v>
      </c>
      <c r="G100" s="12">
        <v>409</v>
      </c>
      <c r="H100" s="12">
        <v>9</v>
      </c>
      <c r="I100" s="12">
        <v>4</v>
      </c>
      <c r="J100" s="12">
        <v>3</v>
      </c>
      <c r="K100" s="12">
        <v>16</v>
      </c>
      <c r="L100" s="13" t="s">
        <v>42</v>
      </c>
      <c r="M100" s="13" t="s">
        <v>538</v>
      </c>
      <c r="N100" s="12">
        <v>8.7200000000000006</v>
      </c>
      <c r="O100" s="12">
        <v>14.1</v>
      </c>
      <c r="P100" s="12">
        <v>39.1</v>
      </c>
      <c r="Q100" s="26">
        <f t="shared" si="1"/>
        <v>8.5119090909090911</v>
      </c>
      <c r="R100" s="12">
        <v>5572.96</v>
      </c>
      <c r="S100" s="12">
        <v>4971.42</v>
      </c>
      <c r="T100" s="12">
        <v>67.86</v>
      </c>
      <c r="U100" s="12">
        <v>54.61</v>
      </c>
      <c r="V100" s="12">
        <v>1</v>
      </c>
    </row>
    <row r="101" spans="1:22" x14ac:dyDescent="0.25">
      <c r="A101" s="12">
        <v>2024</v>
      </c>
      <c r="B101" s="12" t="s">
        <v>396</v>
      </c>
      <c r="C101" s="12" t="s">
        <v>202</v>
      </c>
      <c r="D101" s="12" t="s">
        <v>203</v>
      </c>
      <c r="E101" s="12" t="s">
        <v>204</v>
      </c>
      <c r="F101" s="12" t="s">
        <v>436</v>
      </c>
      <c r="G101" s="12">
        <v>410</v>
      </c>
      <c r="H101" s="12">
        <v>10</v>
      </c>
      <c r="I101" s="12">
        <v>4</v>
      </c>
      <c r="J101" s="12">
        <v>3</v>
      </c>
      <c r="K101" s="12">
        <v>5</v>
      </c>
      <c r="L101" s="13" t="s">
        <v>339</v>
      </c>
      <c r="M101" s="13" t="s">
        <v>30</v>
      </c>
      <c r="N101" s="12">
        <v>9.33</v>
      </c>
      <c r="O101" s="12">
        <v>15.4</v>
      </c>
      <c r="P101" s="12">
        <v>45</v>
      </c>
      <c r="Q101" s="26">
        <f t="shared" si="1"/>
        <v>8.9695227272727269</v>
      </c>
      <c r="R101" s="12">
        <v>5872.57</v>
      </c>
      <c r="S101" s="12">
        <v>5238.6899999999996</v>
      </c>
      <c r="T101" s="12">
        <v>66.38</v>
      </c>
      <c r="U101" s="12">
        <v>55.36</v>
      </c>
      <c r="V101" s="12">
        <v>1</v>
      </c>
    </row>
    <row r="102" spans="1:22" x14ac:dyDescent="0.25">
      <c r="A102" s="12">
        <v>2024</v>
      </c>
      <c r="B102" s="12" t="s">
        <v>396</v>
      </c>
      <c r="C102" s="12" t="s">
        <v>202</v>
      </c>
      <c r="D102" s="12" t="s">
        <v>203</v>
      </c>
      <c r="E102" s="12" t="s">
        <v>204</v>
      </c>
      <c r="F102" s="12" t="s">
        <v>437</v>
      </c>
      <c r="G102" s="12">
        <v>501</v>
      </c>
      <c r="H102" s="12">
        <v>1</v>
      </c>
      <c r="I102" s="12">
        <v>5</v>
      </c>
      <c r="J102" s="12">
        <v>1</v>
      </c>
      <c r="K102" s="12">
        <v>2</v>
      </c>
      <c r="L102" s="13" t="s">
        <v>100</v>
      </c>
      <c r="M102" s="13" t="s">
        <v>30</v>
      </c>
      <c r="N102" s="12">
        <v>5.9</v>
      </c>
      <c r="O102" s="12">
        <v>14.8</v>
      </c>
      <c r="P102" s="12">
        <v>33.6</v>
      </c>
      <c r="Q102" s="26">
        <f t="shared" si="1"/>
        <v>5.7122727272727278</v>
      </c>
      <c r="R102" s="12">
        <v>3739.97</v>
      </c>
      <c r="S102" s="12">
        <v>3336.28</v>
      </c>
      <c r="T102" s="12">
        <v>62.79</v>
      </c>
      <c r="U102" s="12">
        <v>31.08</v>
      </c>
      <c r="V102" s="12">
        <v>1</v>
      </c>
    </row>
    <row r="103" spans="1:22" x14ac:dyDescent="0.25">
      <c r="A103" s="12">
        <v>2024</v>
      </c>
      <c r="B103" s="12" t="s">
        <v>396</v>
      </c>
      <c r="C103" s="12" t="s">
        <v>202</v>
      </c>
      <c r="D103" s="12" t="s">
        <v>203</v>
      </c>
      <c r="E103" s="12" t="s">
        <v>204</v>
      </c>
      <c r="F103" s="12" t="s">
        <v>438</v>
      </c>
      <c r="G103" s="12">
        <v>502</v>
      </c>
      <c r="H103" s="12">
        <v>2</v>
      </c>
      <c r="I103" s="12">
        <v>5</v>
      </c>
      <c r="J103" s="12">
        <v>1</v>
      </c>
      <c r="K103" s="12">
        <v>19</v>
      </c>
      <c r="L103" s="13" t="s">
        <v>113</v>
      </c>
      <c r="M103" s="13" t="s">
        <v>538</v>
      </c>
      <c r="N103" s="12">
        <v>7.93</v>
      </c>
      <c r="O103" s="12">
        <v>14.7</v>
      </c>
      <c r="P103" s="12">
        <v>39.200000000000003</v>
      </c>
      <c r="Q103" s="26">
        <f t="shared" si="1"/>
        <v>7.6866931818181818</v>
      </c>
      <c r="R103" s="12">
        <v>5032.67</v>
      </c>
      <c r="S103" s="12">
        <v>4489.45</v>
      </c>
      <c r="T103" s="12">
        <v>64.39</v>
      </c>
      <c r="U103" s="12">
        <v>35.9</v>
      </c>
      <c r="V103" s="12">
        <v>1</v>
      </c>
    </row>
    <row r="104" spans="1:22" x14ac:dyDescent="0.25">
      <c r="A104" s="12">
        <v>2024</v>
      </c>
      <c r="B104" s="12" t="s">
        <v>396</v>
      </c>
      <c r="C104" s="12" t="s">
        <v>202</v>
      </c>
      <c r="D104" s="12" t="s">
        <v>203</v>
      </c>
      <c r="E104" s="12" t="s">
        <v>204</v>
      </c>
      <c r="F104" s="12" t="s">
        <v>439</v>
      </c>
      <c r="G104" s="12">
        <v>503</v>
      </c>
      <c r="H104" s="12">
        <v>3</v>
      </c>
      <c r="I104" s="12">
        <v>5</v>
      </c>
      <c r="J104" s="12">
        <v>1</v>
      </c>
      <c r="K104" s="12">
        <v>4</v>
      </c>
      <c r="L104" s="13" t="s">
        <v>339</v>
      </c>
      <c r="M104" s="13" t="s">
        <v>538</v>
      </c>
      <c r="N104" s="12">
        <v>8.5399999999999991</v>
      </c>
      <c r="O104" s="12">
        <v>15.5</v>
      </c>
      <c r="P104" s="12">
        <v>42.3</v>
      </c>
      <c r="Q104" s="26">
        <f t="shared" si="1"/>
        <v>8.2003409090909081</v>
      </c>
      <c r="R104" s="12">
        <v>5368.97</v>
      </c>
      <c r="S104" s="12">
        <v>4789.45</v>
      </c>
      <c r="T104" s="12">
        <v>67.39</v>
      </c>
      <c r="U104" s="12">
        <v>54.17</v>
      </c>
      <c r="V104" s="12">
        <v>1</v>
      </c>
    </row>
    <row r="105" spans="1:22" x14ac:dyDescent="0.25">
      <c r="A105" s="12">
        <v>2024</v>
      </c>
      <c r="B105" s="12" t="s">
        <v>396</v>
      </c>
      <c r="C105" s="12" t="s">
        <v>202</v>
      </c>
      <c r="D105" s="12" t="s">
        <v>203</v>
      </c>
      <c r="E105" s="12" t="s">
        <v>204</v>
      </c>
      <c r="F105" s="12" t="s">
        <v>440</v>
      </c>
      <c r="G105" s="12">
        <v>504</v>
      </c>
      <c r="H105" s="12">
        <v>4</v>
      </c>
      <c r="I105" s="12">
        <v>5</v>
      </c>
      <c r="J105" s="12">
        <v>2</v>
      </c>
      <c r="K105" s="12">
        <v>11</v>
      </c>
      <c r="L105" s="13" t="s">
        <v>27</v>
      </c>
      <c r="M105" s="13" t="s">
        <v>30</v>
      </c>
      <c r="N105" s="12">
        <v>7.73</v>
      </c>
      <c r="O105" s="12">
        <v>14.8</v>
      </c>
      <c r="P105" s="12">
        <v>40.9</v>
      </c>
      <c r="Q105" s="26">
        <f t="shared" si="1"/>
        <v>7.4840454545454547</v>
      </c>
      <c r="R105" s="12">
        <v>4899.99</v>
      </c>
      <c r="S105" s="12">
        <v>4371.09</v>
      </c>
      <c r="T105" s="12">
        <v>70.650000000000006</v>
      </c>
      <c r="U105" s="12">
        <v>50.96</v>
      </c>
      <c r="V105" s="12">
        <v>1</v>
      </c>
    </row>
    <row r="106" spans="1:22" x14ac:dyDescent="0.25">
      <c r="A106" s="12">
        <v>2024</v>
      </c>
      <c r="B106" s="12" t="s">
        <v>396</v>
      </c>
      <c r="C106" s="12" t="s">
        <v>202</v>
      </c>
      <c r="D106" s="12" t="s">
        <v>203</v>
      </c>
      <c r="E106" s="12" t="s">
        <v>204</v>
      </c>
      <c r="F106" s="12" t="s">
        <v>441</v>
      </c>
      <c r="G106" s="12">
        <v>505</v>
      </c>
      <c r="H106" s="12">
        <v>5</v>
      </c>
      <c r="I106" s="12">
        <v>5</v>
      </c>
      <c r="J106" s="12">
        <v>2</v>
      </c>
      <c r="K106" s="12">
        <v>5</v>
      </c>
      <c r="L106" s="13" t="s">
        <v>339</v>
      </c>
      <c r="M106" s="13" t="s">
        <v>30</v>
      </c>
      <c r="N106" s="12">
        <v>8.1999999999999993</v>
      </c>
      <c r="O106" s="12">
        <v>15.2</v>
      </c>
      <c r="P106" s="12">
        <v>42.3</v>
      </c>
      <c r="Q106" s="26">
        <f t="shared" si="1"/>
        <v>7.9018181818181805</v>
      </c>
      <c r="R106" s="12">
        <v>5173.5200000000004</v>
      </c>
      <c r="S106" s="12">
        <v>4615.09</v>
      </c>
      <c r="T106" s="12">
        <v>67.75</v>
      </c>
      <c r="U106" s="12">
        <v>54.82</v>
      </c>
      <c r="V106" s="12">
        <v>1</v>
      </c>
    </row>
    <row r="107" spans="1:22" x14ac:dyDescent="0.25">
      <c r="A107" s="12">
        <v>2024</v>
      </c>
      <c r="B107" s="12" t="s">
        <v>396</v>
      </c>
      <c r="C107" s="12" t="s">
        <v>202</v>
      </c>
      <c r="D107" s="12" t="s">
        <v>203</v>
      </c>
      <c r="E107" s="12" t="s">
        <v>204</v>
      </c>
      <c r="F107" s="12" t="s">
        <v>442</v>
      </c>
      <c r="G107" s="12">
        <v>506</v>
      </c>
      <c r="H107" s="12">
        <v>6</v>
      </c>
      <c r="I107" s="12">
        <v>5</v>
      </c>
      <c r="J107" s="12">
        <v>2</v>
      </c>
      <c r="K107" s="12">
        <v>10</v>
      </c>
      <c r="L107" s="13" t="s">
        <v>27</v>
      </c>
      <c r="M107" s="13" t="s">
        <v>538</v>
      </c>
      <c r="N107" s="12">
        <v>7.37</v>
      </c>
      <c r="O107" s="12">
        <v>14.7</v>
      </c>
      <c r="P107" s="12">
        <v>42.2</v>
      </c>
      <c r="Q107" s="26">
        <f t="shared" si="1"/>
        <v>7.1438749999999995</v>
      </c>
      <c r="R107" s="12">
        <v>4677.28</v>
      </c>
      <c r="S107" s="12">
        <v>4172.41</v>
      </c>
      <c r="T107" s="12">
        <v>70.98</v>
      </c>
      <c r="U107" s="12">
        <v>47.54</v>
      </c>
      <c r="V107" s="12">
        <v>1</v>
      </c>
    </row>
    <row r="108" spans="1:22" x14ac:dyDescent="0.25">
      <c r="A108" s="12">
        <v>2024</v>
      </c>
      <c r="B108" s="12" t="s">
        <v>396</v>
      </c>
      <c r="C108" s="12" t="s">
        <v>202</v>
      </c>
      <c r="D108" s="12" t="s">
        <v>203</v>
      </c>
      <c r="E108" s="12" t="s">
        <v>204</v>
      </c>
      <c r="F108" s="12" t="s">
        <v>443</v>
      </c>
      <c r="G108" s="12">
        <v>507</v>
      </c>
      <c r="H108" s="12">
        <v>7</v>
      </c>
      <c r="I108" s="12">
        <v>5</v>
      </c>
      <c r="J108" s="12">
        <v>3</v>
      </c>
      <c r="K108" s="12">
        <v>14</v>
      </c>
      <c r="L108" s="13" t="s">
        <v>336</v>
      </c>
      <c r="M108" s="13" t="s">
        <v>30</v>
      </c>
      <c r="N108" s="12">
        <v>5.83</v>
      </c>
      <c r="O108" s="12">
        <v>13</v>
      </c>
      <c r="P108" s="12">
        <v>32.4</v>
      </c>
      <c r="Q108" s="26">
        <f t="shared" si="1"/>
        <v>5.7637499999999999</v>
      </c>
      <c r="R108" s="12">
        <v>3773.67</v>
      </c>
      <c r="S108" s="12">
        <v>3366.35</v>
      </c>
      <c r="T108" s="12">
        <v>64.25</v>
      </c>
      <c r="U108" s="12">
        <v>44.78</v>
      </c>
      <c r="V108" s="12">
        <v>1</v>
      </c>
    </row>
    <row r="109" spans="1:22" x14ac:dyDescent="0.25">
      <c r="A109" s="12">
        <v>2024</v>
      </c>
      <c r="B109" s="12" t="s">
        <v>396</v>
      </c>
      <c r="C109" s="12" t="s">
        <v>202</v>
      </c>
      <c r="D109" s="12" t="s">
        <v>203</v>
      </c>
      <c r="E109" s="12" t="s">
        <v>204</v>
      </c>
      <c r="F109" s="12" t="s">
        <v>444</v>
      </c>
      <c r="G109" s="12">
        <v>508</v>
      </c>
      <c r="H109" s="12">
        <v>8</v>
      </c>
      <c r="I109" s="12">
        <v>5</v>
      </c>
      <c r="J109" s="12">
        <v>3</v>
      </c>
      <c r="K109" s="12">
        <v>2</v>
      </c>
      <c r="L109" s="13" t="s">
        <v>100</v>
      </c>
      <c r="M109" s="13" t="s">
        <v>30</v>
      </c>
      <c r="N109" s="12">
        <v>8.83</v>
      </c>
      <c r="O109" s="12">
        <v>14.4</v>
      </c>
      <c r="P109" s="12">
        <v>41</v>
      </c>
      <c r="Q109" s="26">
        <f t="shared" si="1"/>
        <v>8.5891818181818191</v>
      </c>
      <c r="R109" s="12">
        <v>5623.56</v>
      </c>
      <c r="S109" s="12">
        <v>5016.55</v>
      </c>
      <c r="T109" s="12">
        <v>67.510000000000005</v>
      </c>
      <c r="U109" s="12">
        <v>39.5</v>
      </c>
      <c r="V109" s="12">
        <v>1</v>
      </c>
    </row>
    <row r="110" spans="1:22" x14ac:dyDescent="0.25">
      <c r="A110" s="12">
        <v>2024</v>
      </c>
      <c r="B110" s="12" t="s">
        <v>396</v>
      </c>
      <c r="C110" s="12" t="s">
        <v>202</v>
      </c>
      <c r="D110" s="12" t="s">
        <v>203</v>
      </c>
      <c r="E110" s="12" t="s">
        <v>204</v>
      </c>
      <c r="F110" s="12" t="s">
        <v>445</v>
      </c>
      <c r="G110" s="12">
        <v>509</v>
      </c>
      <c r="H110" s="12">
        <v>9</v>
      </c>
      <c r="I110" s="12">
        <v>5</v>
      </c>
      <c r="J110" s="12">
        <v>3</v>
      </c>
      <c r="K110" s="12">
        <v>10</v>
      </c>
      <c r="L110" s="13" t="s">
        <v>27</v>
      </c>
      <c r="M110" s="13" t="s">
        <v>538</v>
      </c>
      <c r="N110" s="12">
        <v>7.62</v>
      </c>
      <c r="O110" s="12">
        <v>14.5</v>
      </c>
      <c r="P110" s="12">
        <v>42.6</v>
      </c>
      <c r="Q110" s="26">
        <f t="shared" si="1"/>
        <v>7.403522727272728</v>
      </c>
      <c r="R110" s="12">
        <v>4847.2700000000004</v>
      </c>
      <c r="S110" s="12">
        <v>4324.0600000000004</v>
      </c>
      <c r="T110" s="12">
        <v>71.2</v>
      </c>
      <c r="U110" s="12">
        <v>48.54</v>
      </c>
      <c r="V110" s="12">
        <v>1</v>
      </c>
    </row>
    <row r="111" spans="1:22" x14ac:dyDescent="0.25">
      <c r="A111" s="12">
        <v>2024</v>
      </c>
      <c r="B111" s="12" t="s">
        <v>396</v>
      </c>
      <c r="C111" s="12" t="s">
        <v>202</v>
      </c>
      <c r="D111" s="12" t="s">
        <v>203</v>
      </c>
      <c r="E111" s="12" t="s">
        <v>204</v>
      </c>
      <c r="F111" s="12" t="s">
        <v>446</v>
      </c>
      <c r="G111" s="12">
        <v>510</v>
      </c>
      <c r="H111" s="12">
        <v>10</v>
      </c>
      <c r="I111" s="12">
        <v>5</v>
      </c>
      <c r="J111" s="12">
        <v>3</v>
      </c>
      <c r="K111" s="12">
        <v>18</v>
      </c>
      <c r="L111" s="13" t="s">
        <v>42</v>
      </c>
      <c r="M111" s="13" t="s">
        <v>53</v>
      </c>
      <c r="N111" s="12">
        <v>8.8699999999999992</v>
      </c>
      <c r="O111" s="12">
        <v>14.3</v>
      </c>
      <c r="P111" s="12">
        <v>42</v>
      </c>
      <c r="Q111" s="26">
        <f t="shared" si="1"/>
        <v>8.6381704545454525</v>
      </c>
      <c r="R111" s="12">
        <v>5655.63</v>
      </c>
      <c r="S111" s="12">
        <v>5045.16</v>
      </c>
      <c r="T111" s="12">
        <v>71.39</v>
      </c>
      <c r="U111" s="12">
        <v>62.42</v>
      </c>
      <c r="V111" s="12">
        <v>0</v>
      </c>
    </row>
    <row r="112" spans="1:22" x14ac:dyDescent="0.25">
      <c r="A112" s="12">
        <v>2024</v>
      </c>
      <c r="B112" s="12" t="s">
        <v>396</v>
      </c>
      <c r="C112" s="12" t="s">
        <v>202</v>
      </c>
      <c r="D112" s="12" t="s">
        <v>203</v>
      </c>
      <c r="E112" s="12" t="s">
        <v>204</v>
      </c>
      <c r="F112" s="12" t="s">
        <v>447</v>
      </c>
      <c r="G112" s="12">
        <v>601</v>
      </c>
      <c r="H112" s="12">
        <v>1</v>
      </c>
      <c r="I112" s="12">
        <v>6</v>
      </c>
      <c r="J112" s="12">
        <v>1</v>
      </c>
      <c r="K112" s="12">
        <v>14</v>
      </c>
      <c r="L112" s="13" t="s">
        <v>336</v>
      </c>
      <c r="M112" s="13" t="s">
        <v>30</v>
      </c>
      <c r="N112" s="12">
        <v>4.4400000000000004</v>
      </c>
      <c r="O112" s="12">
        <v>12.9</v>
      </c>
      <c r="P112" s="12">
        <v>26.6</v>
      </c>
      <c r="Q112" s="26">
        <f t="shared" si="1"/>
        <v>4.3945909090909092</v>
      </c>
      <c r="R112" s="12">
        <v>2877.25</v>
      </c>
      <c r="S112" s="12">
        <v>2566.6799999999998</v>
      </c>
      <c r="T112" s="12">
        <v>59.43</v>
      </c>
      <c r="U112" s="12">
        <v>37.67</v>
      </c>
      <c r="V112" s="12">
        <v>2</v>
      </c>
    </row>
    <row r="113" spans="1:22" x14ac:dyDescent="0.25">
      <c r="A113" s="12">
        <v>2024</v>
      </c>
      <c r="B113" s="12" t="s">
        <v>396</v>
      </c>
      <c r="C113" s="12" t="s">
        <v>202</v>
      </c>
      <c r="D113" s="12" t="s">
        <v>203</v>
      </c>
      <c r="E113" s="12" t="s">
        <v>204</v>
      </c>
      <c r="F113" s="12" t="s">
        <v>448</v>
      </c>
      <c r="G113" s="12">
        <v>602</v>
      </c>
      <c r="H113" s="12">
        <v>2</v>
      </c>
      <c r="I113" s="12">
        <v>6</v>
      </c>
      <c r="J113" s="12">
        <v>1</v>
      </c>
      <c r="K113" s="12">
        <v>20</v>
      </c>
      <c r="L113" s="13" t="s">
        <v>82</v>
      </c>
      <c r="M113" s="13" t="s">
        <v>538</v>
      </c>
      <c r="N113" s="12">
        <v>8.07</v>
      </c>
      <c r="O113" s="12">
        <v>15.2</v>
      </c>
      <c r="P113" s="12">
        <v>39.200000000000003</v>
      </c>
      <c r="Q113" s="26">
        <f t="shared" si="1"/>
        <v>7.7765454545454542</v>
      </c>
      <c r="R113" s="12">
        <v>5091.5</v>
      </c>
      <c r="S113" s="12">
        <v>4541.93</v>
      </c>
      <c r="T113" s="12">
        <v>66.97</v>
      </c>
      <c r="U113" s="12">
        <v>52</v>
      </c>
      <c r="V113" s="12">
        <v>1</v>
      </c>
    </row>
    <row r="114" spans="1:22" x14ac:dyDescent="0.25">
      <c r="A114" s="12">
        <v>2024</v>
      </c>
      <c r="B114" s="12" t="s">
        <v>396</v>
      </c>
      <c r="C114" s="12" t="s">
        <v>202</v>
      </c>
      <c r="D114" s="12" t="s">
        <v>203</v>
      </c>
      <c r="E114" s="12" t="s">
        <v>204</v>
      </c>
      <c r="F114" s="12" t="s">
        <v>449</v>
      </c>
      <c r="G114" s="12">
        <v>603</v>
      </c>
      <c r="H114" s="12">
        <v>3</v>
      </c>
      <c r="I114" s="12">
        <v>6</v>
      </c>
      <c r="J114" s="12">
        <v>1</v>
      </c>
      <c r="K114" s="12">
        <v>6</v>
      </c>
      <c r="L114" s="13" t="s">
        <v>339</v>
      </c>
      <c r="M114" s="13" t="s">
        <v>53</v>
      </c>
      <c r="N114" s="12">
        <v>8.08</v>
      </c>
      <c r="O114" s="12">
        <v>15.7</v>
      </c>
      <c r="P114" s="12">
        <v>43.4</v>
      </c>
      <c r="Q114" s="26">
        <f t="shared" si="1"/>
        <v>7.7402727272727274</v>
      </c>
      <c r="R114" s="12">
        <v>5067.75</v>
      </c>
      <c r="S114" s="12">
        <v>4520.74</v>
      </c>
      <c r="T114" s="12">
        <v>67.81</v>
      </c>
      <c r="U114" s="12">
        <v>56.47</v>
      </c>
      <c r="V114" s="12">
        <v>1</v>
      </c>
    </row>
    <row r="115" spans="1:22" x14ac:dyDescent="0.25">
      <c r="A115" s="12">
        <v>2024</v>
      </c>
      <c r="B115" s="12" t="s">
        <v>396</v>
      </c>
      <c r="C115" s="12" t="s">
        <v>202</v>
      </c>
      <c r="D115" s="12" t="s">
        <v>203</v>
      </c>
      <c r="E115" s="12" t="s">
        <v>204</v>
      </c>
      <c r="F115" s="12" t="s">
        <v>450</v>
      </c>
      <c r="G115" s="12">
        <v>604</v>
      </c>
      <c r="H115" s="12">
        <v>4</v>
      </c>
      <c r="I115" s="12">
        <v>6</v>
      </c>
      <c r="J115" s="12">
        <v>2</v>
      </c>
      <c r="K115" s="12">
        <v>18</v>
      </c>
      <c r="L115" s="13" t="s">
        <v>42</v>
      </c>
      <c r="M115" s="13" t="s">
        <v>53</v>
      </c>
      <c r="N115" s="12">
        <v>9.16</v>
      </c>
      <c r="O115" s="12">
        <v>14.9</v>
      </c>
      <c r="P115" s="12">
        <v>41.1</v>
      </c>
      <c r="Q115" s="26">
        <f t="shared" si="1"/>
        <v>8.8581363636363637</v>
      </c>
      <c r="R115" s="12">
        <v>5799.65</v>
      </c>
      <c r="S115" s="12">
        <v>5173.6400000000003</v>
      </c>
      <c r="T115" s="12">
        <v>69.650000000000006</v>
      </c>
      <c r="U115" s="12">
        <v>60.39</v>
      </c>
      <c r="V115" s="12">
        <v>0</v>
      </c>
    </row>
    <row r="116" spans="1:22" x14ac:dyDescent="0.25">
      <c r="A116" s="12">
        <v>2024</v>
      </c>
      <c r="B116" s="12" t="s">
        <v>396</v>
      </c>
      <c r="C116" s="12" t="s">
        <v>202</v>
      </c>
      <c r="D116" s="12" t="s">
        <v>203</v>
      </c>
      <c r="E116" s="12" t="s">
        <v>204</v>
      </c>
      <c r="F116" s="12" t="s">
        <v>451</v>
      </c>
      <c r="G116" s="12">
        <v>605</v>
      </c>
      <c r="H116" s="12">
        <v>5</v>
      </c>
      <c r="I116" s="12">
        <v>6</v>
      </c>
      <c r="J116" s="12">
        <v>2</v>
      </c>
      <c r="K116" s="12">
        <v>16</v>
      </c>
      <c r="L116" s="13" t="s">
        <v>42</v>
      </c>
      <c r="M116" s="13" t="s">
        <v>538</v>
      </c>
      <c r="N116" s="12">
        <v>9.16</v>
      </c>
      <c r="O116" s="12">
        <v>14.5</v>
      </c>
      <c r="P116" s="12">
        <v>39.700000000000003</v>
      </c>
      <c r="Q116" s="26">
        <f t="shared" si="1"/>
        <v>8.8997727272727278</v>
      </c>
      <c r="R116" s="12">
        <v>5826.91</v>
      </c>
      <c r="S116" s="12">
        <v>5197.95</v>
      </c>
      <c r="T116" s="12">
        <v>69.77</v>
      </c>
      <c r="U116" s="12">
        <v>58.29</v>
      </c>
      <c r="V116" s="12">
        <v>1</v>
      </c>
    </row>
    <row r="117" spans="1:22" x14ac:dyDescent="0.25">
      <c r="A117" s="12">
        <v>2024</v>
      </c>
      <c r="B117" s="12" t="s">
        <v>396</v>
      </c>
      <c r="C117" s="12" t="s">
        <v>202</v>
      </c>
      <c r="D117" s="12" t="s">
        <v>203</v>
      </c>
      <c r="E117" s="12" t="s">
        <v>204</v>
      </c>
      <c r="F117" s="12" t="s">
        <v>452</v>
      </c>
      <c r="G117" s="12">
        <v>606</v>
      </c>
      <c r="H117" s="12">
        <v>6</v>
      </c>
      <c r="I117" s="12">
        <v>6</v>
      </c>
      <c r="J117" s="12">
        <v>2</v>
      </c>
      <c r="K117" s="12">
        <v>20</v>
      </c>
      <c r="L117" s="13" t="s">
        <v>82</v>
      </c>
      <c r="M117" s="13" t="s">
        <v>538</v>
      </c>
      <c r="N117" s="12">
        <v>9.35</v>
      </c>
      <c r="O117" s="12">
        <v>14.7</v>
      </c>
      <c r="P117" s="12">
        <v>40.9</v>
      </c>
      <c r="Q117" s="26">
        <f t="shared" si="1"/>
        <v>9.0631249999999994</v>
      </c>
      <c r="R117" s="12">
        <v>5933.86</v>
      </c>
      <c r="S117" s="12">
        <v>5293.36</v>
      </c>
      <c r="T117" s="12">
        <v>70.44</v>
      </c>
      <c r="U117" s="12">
        <v>57.36</v>
      </c>
      <c r="V117" s="12">
        <v>1</v>
      </c>
    </row>
    <row r="118" spans="1:22" x14ac:dyDescent="0.25">
      <c r="A118" s="12">
        <v>2024</v>
      </c>
      <c r="B118" s="12" t="s">
        <v>396</v>
      </c>
      <c r="C118" s="12" t="s">
        <v>202</v>
      </c>
      <c r="D118" s="12" t="s">
        <v>203</v>
      </c>
      <c r="E118" s="12" t="s">
        <v>204</v>
      </c>
      <c r="F118" s="12" t="s">
        <v>453</v>
      </c>
      <c r="G118" s="12">
        <v>607</v>
      </c>
      <c r="H118" s="12">
        <v>7</v>
      </c>
      <c r="I118" s="12">
        <v>6</v>
      </c>
      <c r="J118" s="12">
        <v>3</v>
      </c>
      <c r="K118" s="12">
        <v>15</v>
      </c>
      <c r="L118" s="13" t="s">
        <v>336</v>
      </c>
      <c r="M118" s="13" t="s">
        <v>53</v>
      </c>
      <c r="N118" s="12">
        <v>7.08</v>
      </c>
      <c r="O118" s="12">
        <v>13.5</v>
      </c>
      <c r="P118" s="12">
        <v>34.4</v>
      </c>
      <c r="Q118" s="26">
        <f t="shared" si="1"/>
        <v>6.9593181818181815</v>
      </c>
      <c r="R118" s="12">
        <v>4556.4399999999996</v>
      </c>
      <c r="S118" s="12">
        <v>4064.62</v>
      </c>
      <c r="T118" s="12">
        <v>65.58</v>
      </c>
      <c r="U118" s="12">
        <v>45.48</v>
      </c>
      <c r="V118" s="12">
        <v>1</v>
      </c>
    </row>
    <row r="119" spans="1:22" x14ac:dyDescent="0.25">
      <c r="A119" s="12">
        <v>2024</v>
      </c>
      <c r="B119" s="12" t="s">
        <v>396</v>
      </c>
      <c r="C119" s="12" t="s">
        <v>202</v>
      </c>
      <c r="D119" s="12" t="s">
        <v>203</v>
      </c>
      <c r="E119" s="12" t="s">
        <v>204</v>
      </c>
      <c r="F119" s="12" t="s">
        <v>454</v>
      </c>
      <c r="G119" s="12">
        <v>608</v>
      </c>
      <c r="H119" s="12">
        <v>8</v>
      </c>
      <c r="I119" s="12">
        <v>6</v>
      </c>
      <c r="J119" s="12">
        <v>3</v>
      </c>
      <c r="K119" s="12">
        <v>20</v>
      </c>
      <c r="L119" s="13" t="s">
        <v>82</v>
      </c>
      <c r="M119" s="13" t="s">
        <v>538</v>
      </c>
      <c r="N119" s="12">
        <v>8.9600000000000009</v>
      </c>
      <c r="O119" s="12">
        <v>14.7</v>
      </c>
      <c r="P119" s="12">
        <v>40.9</v>
      </c>
      <c r="Q119" s="26">
        <f t="shared" si="1"/>
        <v>8.6850909090909099</v>
      </c>
      <c r="R119" s="12">
        <v>5686.35</v>
      </c>
      <c r="S119" s="12">
        <v>5072.57</v>
      </c>
      <c r="T119" s="12">
        <v>70.31</v>
      </c>
      <c r="U119" s="12">
        <v>57.37</v>
      </c>
      <c r="V119" s="12">
        <v>1</v>
      </c>
    </row>
    <row r="120" spans="1:22" x14ac:dyDescent="0.25">
      <c r="A120" s="12">
        <v>2024</v>
      </c>
      <c r="B120" s="12" t="s">
        <v>396</v>
      </c>
      <c r="C120" s="12" t="s">
        <v>202</v>
      </c>
      <c r="D120" s="12" t="s">
        <v>203</v>
      </c>
      <c r="E120" s="12" t="s">
        <v>204</v>
      </c>
      <c r="F120" s="12" t="s">
        <v>455</v>
      </c>
      <c r="G120" s="12">
        <v>609</v>
      </c>
      <c r="H120" s="12">
        <v>9</v>
      </c>
      <c r="I120" s="12">
        <v>6</v>
      </c>
      <c r="J120" s="12">
        <v>3</v>
      </c>
      <c r="K120" s="12">
        <v>9</v>
      </c>
      <c r="L120" s="13" t="s">
        <v>69</v>
      </c>
      <c r="M120" s="13" t="s">
        <v>53</v>
      </c>
      <c r="N120" s="12">
        <v>8.86</v>
      </c>
      <c r="O120" s="12">
        <v>14.1</v>
      </c>
      <c r="P120" s="12">
        <v>38.5</v>
      </c>
      <c r="Q120" s="26">
        <f t="shared" si="1"/>
        <v>8.648568181818181</v>
      </c>
      <c r="R120" s="12">
        <v>5662.44</v>
      </c>
      <c r="S120" s="12">
        <v>5051.24</v>
      </c>
      <c r="T120" s="12">
        <v>68.45</v>
      </c>
      <c r="U120" s="12">
        <v>50.27</v>
      </c>
      <c r="V120" s="12">
        <v>0</v>
      </c>
    </row>
    <row r="121" spans="1:22" x14ac:dyDescent="0.25">
      <c r="A121" s="12">
        <v>2024</v>
      </c>
      <c r="B121" s="12" t="s">
        <v>396</v>
      </c>
      <c r="C121" s="12" t="s">
        <v>202</v>
      </c>
      <c r="D121" s="12" t="s">
        <v>203</v>
      </c>
      <c r="E121" s="12" t="s">
        <v>204</v>
      </c>
      <c r="F121" s="12" t="s">
        <v>456</v>
      </c>
      <c r="G121" s="12">
        <v>610</v>
      </c>
      <c r="H121" s="12">
        <v>10</v>
      </c>
      <c r="I121" s="12">
        <v>6</v>
      </c>
      <c r="J121" s="12">
        <v>3</v>
      </c>
      <c r="K121" s="12">
        <v>12</v>
      </c>
      <c r="L121" s="13" t="s">
        <v>27</v>
      </c>
      <c r="M121" s="13" t="s">
        <v>53</v>
      </c>
      <c r="N121" s="12">
        <v>7.66</v>
      </c>
      <c r="O121" s="12">
        <v>14.7</v>
      </c>
      <c r="P121" s="12">
        <v>43</v>
      </c>
      <c r="Q121" s="26">
        <f t="shared" si="1"/>
        <v>7.424977272727272</v>
      </c>
      <c r="R121" s="12">
        <v>4861.32</v>
      </c>
      <c r="S121" s="12">
        <v>4336.59</v>
      </c>
      <c r="T121" s="12">
        <v>72.12</v>
      </c>
      <c r="U121" s="12">
        <v>53.38</v>
      </c>
      <c r="V121" s="12">
        <v>1</v>
      </c>
    </row>
    <row r="122" spans="1:22" x14ac:dyDescent="0.25">
      <c r="A122" s="12">
        <v>2024</v>
      </c>
      <c r="B122" s="12" t="s">
        <v>457</v>
      </c>
      <c r="C122" s="12" t="s">
        <v>244</v>
      </c>
      <c r="D122" s="12" t="s">
        <v>245</v>
      </c>
      <c r="E122" s="12" t="s">
        <v>246</v>
      </c>
      <c r="F122" s="12" t="s">
        <v>458</v>
      </c>
      <c r="G122" s="12">
        <v>101</v>
      </c>
      <c r="H122" s="12">
        <v>1</v>
      </c>
      <c r="I122" s="12">
        <v>1</v>
      </c>
      <c r="J122" s="12">
        <v>1</v>
      </c>
      <c r="K122" s="12">
        <v>11</v>
      </c>
      <c r="L122" s="13" t="s">
        <v>27</v>
      </c>
      <c r="M122" s="13" t="s">
        <v>30</v>
      </c>
      <c r="N122" s="12">
        <v>10.01</v>
      </c>
      <c r="O122" s="12">
        <v>17.399999999999999</v>
      </c>
      <c r="P122" s="12">
        <v>42</v>
      </c>
      <c r="Q122" s="26">
        <f t="shared" si="1"/>
        <v>9.3957499999999996</v>
      </c>
      <c r="R122" s="12">
        <v>738.2</v>
      </c>
      <c r="S122" s="12">
        <v>6264.48</v>
      </c>
      <c r="T122" s="12">
        <v>73.67</v>
      </c>
      <c r="U122" s="12">
        <v>62.69</v>
      </c>
      <c r="V122" s="12"/>
    </row>
    <row r="123" spans="1:22" x14ac:dyDescent="0.25">
      <c r="A123" s="12">
        <v>2024</v>
      </c>
      <c r="B123" s="12" t="s">
        <v>457</v>
      </c>
      <c r="C123" s="12" t="s">
        <v>244</v>
      </c>
      <c r="D123" s="12" t="s">
        <v>245</v>
      </c>
      <c r="E123" s="12" t="s">
        <v>246</v>
      </c>
      <c r="F123" s="12" t="s">
        <v>459</v>
      </c>
      <c r="G123" s="12">
        <v>102</v>
      </c>
      <c r="H123" s="12">
        <v>2</v>
      </c>
      <c r="I123" s="12">
        <v>1</v>
      </c>
      <c r="J123" s="12">
        <v>1</v>
      </c>
      <c r="K123" s="12">
        <v>18</v>
      </c>
      <c r="L123" s="13" t="s">
        <v>42</v>
      </c>
      <c r="M123" s="13" t="s">
        <v>53</v>
      </c>
      <c r="N123" s="12">
        <v>10.43</v>
      </c>
      <c r="O123" s="12">
        <v>20.5</v>
      </c>
      <c r="P123" s="12">
        <v>41</v>
      </c>
      <c r="Q123" s="26">
        <f t="shared" si="1"/>
        <v>9.4225568181818176</v>
      </c>
      <c r="R123" s="12">
        <v>740.3</v>
      </c>
      <c r="S123" s="12">
        <v>6282.35</v>
      </c>
      <c r="T123" s="12">
        <v>72.73</v>
      </c>
      <c r="U123" s="12">
        <v>63.63</v>
      </c>
      <c r="V123" s="12"/>
    </row>
    <row r="124" spans="1:22" x14ac:dyDescent="0.25">
      <c r="A124" s="12">
        <v>2024</v>
      </c>
      <c r="B124" s="12" t="s">
        <v>457</v>
      </c>
      <c r="C124" s="12" t="s">
        <v>244</v>
      </c>
      <c r="D124" s="12" t="s">
        <v>245</v>
      </c>
      <c r="E124" s="12" t="s">
        <v>246</v>
      </c>
      <c r="F124" s="12" t="s">
        <v>460</v>
      </c>
      <c r="G124" s="12">
        <v>103</v>
      </c>
      <c r="H124" s="12">
        <v>3</v>
      </c>
      <c r="I124" s="12">
        <v>1</v>
      </c>
      <c r="J124" s="12">
        <v>1</v>
      </c>
      <c r="K124" s="12">
        <v>19</v>
      </c>
      <c r="L124" s="13" t="s">
        <v>113</v>
      </c>
      <c r="M124" s="13" t="s">
        <v>538</v>
      </c>
      <c r="N124" s="12">
        <v>11.31</v>
      </c>
      <c r="O124" s="12">
        <v>14.6</v>
      </c>
      <c r="P124" s="12">
        <v>43.4</v>
      </c>
      <c r="Q124" s="26">
        <f t="shared" si="1"/>
        <v>10.975840909090909</v>
      </c>
      <c r="R124" s="12">
        <v>862.34</v>
      </c>
      <c r="S124" s="12">
        <v>7317.98</v>
      </c>
      <c r="T124" s="12">
        <v>72.2</v>
      </c>
      <c r="U124" s="12">
        <v>63.68</v>
      </c>
      <c r="V124" s="12"/>
    </row>
    <row r="125" spans="1:22" x14ac:dyDescent="0.25">
      <c r="A125" s="12">
        <v>2024</v>
      </c>
      <c r="B125" s="12" t="s">
        <v>457</v>
      </c>
      <c r="C125" s="12" t="s">
        <v>244</v>
      </c>
      <c r="D125" s="12" t="s">
        <v>245</v>
      </c>
      <c r="E125" s="12" t="s">
        <v>246</v>
      </c>
      <c r="F125" s="12" t="s">
        <v>461</v>
      </c>
      <c r="G125" s="12">
        <v>104</v>
      </c>
      <c r="H125" s="12">
        <v>4</v>
      </c>
      <c r="I125" s="12">
        <v>1</v>
      </c>
      <c r="J125" s="12">
        <v>1</v>
      </c>
      <c r="K125" s="12">
        <v>9</v>
      </c>
      <c r="L125" s="13" t="s">
        <v>69</v>
      </c>
      <c r="M125" s="13" t="s">
        <v>53</v>
      </c>
      <c r="N125" s="12">
        <v>12.76</v>
      </c>
      <c r="O125" s="12">
        <v>17.3</v>
      </c>
      <c r="P125" s="12">
        <v>42.2</v>
      </c>
      <c r="Q125" s="26">
        <f t="shared" si="1"/>
        <v>11.991499999999998</v>
      </c>
      <c r="R125" s="12">
        <v>942.14</v>
      </c>
      <c r="S125" s="12">
        <v>7995.15</v>
      </c>
      <c r="T125" s="12">
        <v>72.25</v>
      </c>
      <c r="U125" s="12">
        <v>58.82</v>
      </c>
      <c r="V125" s="12"/>
    </row>
    <row r="126" spans="1:22" x14ac:dyDescent="0.25">
      <c r="A126" s="12">
        <v>2024</v>
      </c>
      <c r="B126" s="12" t="s">
        <v>457</v>
      </c>
      <c r="C126" s="12" t="s">
        <v>244</v>
      </c>
      <c r="D126" s="12" t="s">
        <v>245</v>
      </c>
      <c r="E126" s="12" t="s">
        <v>246</v>
      </c>
      <c r="F126" s="12" t="s">
        <v>462</v>
      </c>
      <c r="G126" s="12">
        <v>105</v>
      </c>
      <c r="H126" s="12">
        <v>5</v>
      </c>
      <c r="I126" s="12">
        <v>1</v>
      </c>
      <c r="J126" s="12">
        <v>1</v>
      </c>
      <c r="K126" s="12">
        <v>12</v>
      </c>
      <c r="L126" s="13" t="s">
        <v>27</v>
      </c>
      <c r="M126" s="13" t="s">
        <v>53</v>
      </c>
      <c r="N126" s="12">
        <v>10.88</v>
      </c>
      <c r="O126" s="12">
        <v>15.9</v>
      </c>
      <c r="P126" s="12">
        <v>42.8</v>
      </c>
      <c r="Q126" s="26">
        <f t="shared" si="1"/>
        <v>10.397818181818183</v>
      </c>
      <c r="R126" s="12">
        <v>816.93</v>
      </c>
      <c r="S126" s="12">
        <v>6932.59</v>
      </c>
      <c r="T126" s="12">
        <v>75.209999999999994</v>
      </c>
      <c r="U126" s="12">
        <v>65.42</v>
      </c>
      <c r="V126" s="12"/>
    </row>
    <row r="127" spans="1:22" x14ac:dyDescent="0.25">
      <c r="A127" s="12">
        <v>2024</v>
      </c>
      <c r="B127" s="12" t="s">
        <v>457</v>
      </c>
      <c r="C127" s="12" t="s">
        <v>244</v>
      </c>
      <c r="D127" s="12" t="s">
        <v>245</v>
      </c>
      <c r="E127" s="12" t="s">
        <v>246</v>
      </c>
      <c r="F127" s="12" t="s">
        <v>463</v>
      </c>
      <c r="G127" s="12">
        <v>106</v>
      </c>
      <c r="H127" s="12">
        <v>6</v>
      </c>
      <c r="I127" s="12">
        <v>1</v>
      </c>
      <c r="J127" s="12">
        <v>1</v>
      </c>
      <c r="K127" s="12">
        <v>2</v>
      </c>
      <c r="L127" s="13" t="s">
        <v>100</v>
      </c>
      <c r="M127" s="13" t="s">
        <v>30</v>
      </c>
      <c r="N127" s="12">
        <v>11.35</v>
      </c>
      <c r="O127" s="12">
        <v>18.2</v>
      </c>
      <c r="P127" s="12">
        <v>41.9</v>
      </c>
      <c r="Q127" s="26">
        <f t="shared" si="1"/>
        <v>10.550340909090909</v>
      </c>
      <c r="R127" s="12">
        <v>828.91</v>
      </c>
      <c r="S127" s="12">
        <v>7034.28</v>
      </c>
      <c r="T127" s="12">
        <v>72.040000000000006</v>
      </c>
      <c r="U127" s="12">
        <v>56.52</v>
      </c>
      <c r="V127" s="12"/>
    </row>
    <row r="128" spans="1:22" x14ac:dyDescent="0.25">
      <c r="A128" s="12">
        <v>2024</v>
      </c>
      <c r="B128" s="12" t="s">
        <v>457</v>
      </c>
      <c r="C128" s="12" t="s">
        <v>244</v>
      </c>
      <c r="D128" s="12" t="s">
        <v>245</v>
      </c>
      <c r="E128" s="12" t="s">
        <v>246</v>
      </c>
      <c r="F128" s="12" t="s">
        <v>464</v>
      </c>
      <c r="G128" s="12">
        <v>107</v>
      </c>
      <c r="H128" s="12">
        <v>7</v>
      </c>
      <c r="I128" s="12">
        <v>1</v>
      </c>
      <c r="J128" s="12">
        <v>1</v>
      </c>
      <c r="K128" s="12">
        <v>3</v>
      </c>
      <c r="L128" s="13" t="s">
        <v>100</v>
      </c>
      <c r="M128" s="13" t="s">
        <v>53</v>
      </c>
      <c r="N128" s="12">
        <v>10.93</v>
      </c>
      <c r="O128" s="12">
        <v>14.5</v>
      </c>
      <c r="P128" s="12">
        <v>43.5</v>
      </c>
      <c r="Q128" s="26">
        <f t="shared" si="1"/>
        <v>10.619488636363636</v>
      </c>
      <c r="R128" s="12">
        <v>834.34</v>
      </c>
      <c r="S128" s="12">
        <v>7080.38</v>
      </c>
      <c r="T128" s="12">
        <v>71.989999999999995</v>
      </c>
      <c r="U128" s="12">
        <v>54.42</v>
      </c>
      <c r="V128" s="12"/>
    </row>
    <row r="129" spans="1:22" x14ac:dyDescent="0.25">
      <c r="A129" s="12">
        <v>2024</v>
      </c>
      <c r="B129" s="12" t="s">
        <v>457</v>
      </c>
      <c r="C129" s="12" t="s">
        <v>244</v>
      </c>
      <c r="D129" s="12" t="s">
        <v>245</v>
      </c>
      <c r="E129" s="12" t="s">
        <v>246</v>
      </c>
      <c r="F129" s="12" t="s">
        <v>465</v>
      </c>
      <c r="G129" s="12">
        <v>108</v>
      </c>
      <c r="H129" s="12">
        <v>8</v>
      </c>
      <c r="I129" s="12">
        <v>1</v>
      </c>
      <c r="J129" s="12">
        <v>1</v>
      </c>
      <c r="K129" s="12">
        <v>1</v>
      </c>
      <c r="L129" s="13" t="s">
        <v>100</v>
      </c>
      <c r="M129" s="13" t="s">
        <v>538</v>
      </c>
      <c r="N129" s="12">
        <v>11.16</v>
      </c>
      <c r="O129" s="12">
        <v>16</v>
      </c>
      <c r="P129" s="12">
        <v>42.7</v>
      </c>
      <c r="Q129" s="26">
        <f t="shared" si="1"/>
        <v>10.652727272727272</v>
      </c>
      <c r="R129" s="12">
        <v>836.95</v>
      </c>
      <c r="S129" s="12">
        <v>7102.55</v>
      </c>
      <c r="T129" s="12">
        <v>71.67</v>
      </c>
      <c r="U129" s="12">
        <v>55.84</v>
      </c>
      <c r="V129" s="12"/>
    </row>
    <row r="130" spans="1:22" x14ac:dyDescent="0.25">
      <c r="A130" s="12">
        <v>2024</v>
      </c>
      <c r="B130" s="12" t="s">
        <v>457</v>
      </c>
      <c r="C130" s="12" t="s">
        <v>244</v>
      </c>
      <c r="D130" s="12" t="s">
        <v>245</v>
      </c>
      <c r="E130" s="12" t="s">
        <v>246</v>
      </c>
      <c r="F130" s="12" t="s">
        <v>466</v>
      </c>
      <c r="G130" s="12">
        <v>109</v>
      </c>
      <c r="H130" s="12">
        <v>9</v>
      </c>
      <c r="I130" s="12">
        <v>1</v>
      </c>
      <c r="J130" s="12">
        <v>1</v>
      </c>
      <c r="K130" s="12">
        <v>10</v>
      </c>
      <c r="L130" s="13" t="s">
        <v>27</v>
      </c>
      <c r="M130" s="13" t="s">
        <v>538</v>
      </c>
      <c r="N130" s="12">
        <v>10.52</v>
      </c>
      <c r="O130" s="12">
        <v>15.9</v>
      </c>
      <c r="P130" s="12">
        <v>42.8</v>
      </c>
      <c r="Q130" s="26">
        <f t="shared" si="1"/>
        <v>10.053772727272728</v>
      </c>
      <c r="R130" s="12">
        <v>789.9</v>
      </c>
      <c r="S130" s="12">
        <v>6703.2</v>
      </c>
      <c r="T130" s="12">
        <v>74.650000000000006</v>
      </c>
      <c r="U130" s="12">
        <v>65.05</v>
      </c>
      <c r="V130" s="12"/>
    </row>
    <row r="131" spans="1:22" x14ac:dyDescent="0.25">
      <c r="A131" s="12">
        <v>2024</v>
      </c>
      <c r="B131" s="12" t="s">
        <v>457</v>
      </c>
      <c r="C131" s="12" t="s">
        <v>244</v>
      </c>
      <c r="D131" s="12" t="s">
        <v>245</v>
      </c>
      <c r="E131" s="12" t="s">
        <v>246</v>
      </c>
      <c r="F131" s="12" t="s">
        <v>467</v>
      </c>
      <c r="G131" s="12">
        <v>110</v>
      </c>
      <c r="H131" s="12">
        <v>10</v>
      </c>
      <c r="I131" s="12">
        <v>1</v>
      </c>
      <c r="J131" s="12">
        <v>1</v>
      </c>
      <c r="K131" s="12">
        <v>16</v>
      </c>
      <c r="L131" s="13" t="s">
        <v>42</v>
      </c>
      <c r="M131" s="13" t="s">
        <v>538</v>
      </c>
      <c r="N131" s="12">
        <v>9.51</v>
      </c>
      <c r="O131" s="12">
        <v>16</v>
      </c>
      <c r="P131" s="12">
        <v>42.9</v>
      </c>
      <c r="Q131" s="26">
        <f t="shared" ref="Q131:Q194" si="2">N131*(1-O131/100)/(1-0.12)</f>
        <v>9.0777272727272713</v>
      </c>
      <c r="R131" s="12">
        <v>713.21</v>
      </c>
      <c r="S131" s="12">
        <v>6052.44</v>
      </c>
      <c r="T131" s="12">
        <v>72.680000000000007</v>
      </c>
      <c r="U131" s="12">
        <v>61.51</v>
      </c>
      <c r="V131" s="12"/>
    </row>
    <row r="132" spans="1:22" x14ac:dyDescent="0.25">
      <c r="A132" s="12">
        <v>2024</v>
      </c>
      <c r="B132" s="12" t="s">
        <v>457</v>
      </c>
      <c r="C132" s="12" t="s">
        <v>244</v>
      </c>
      <c r="D132" s="12" t="s">
        <v>245</v>
      </c>
      <c r="E132" s="12" t="s">
        <v>246</v>
      </c>
      <c r="F132" s="12" t="s">
        <v>468</v>
      </c>
      <c r="G132" s="12">
        <v>201</v>
      </c>
      <c r="H132" s="12">
        <v>1</v>
      </c>
      <c r="I132" s="12">
        <v>2</v>
      </c>
      <c r="J132" s="12">
        <v>1</v>
      </c>
      <c r="K132" s="12">
        <v>14</v>
      </c>
      <c r="L132" s="13" t="s">
        <v>336</v>
      </c>
      <c r="M132" s="13" t="s">
        <v>30</v>
      </c>
      <c r="N132" s="12">
        <v>12.54</v>
      </c>
      <c r="O132" s="12">
        <v>19.899999999999999</v>
      </c>
      <c r="P132" s="12">
        <v>40.9</v>
      </c>
      <c r="Q132" s="26">
        <f t="shared" si="2"/>
        <v>11.414249999999999</v>
      </c>
      <c r="R132" s="12">
        <v>896.78</v>
      </c>
      <c r="S132" s="12">
        <v>7610.28</v>
      </c>
      <c r="T132" s="12">
        <v>72.41</v>
      </c>
      <c r="U132" s="12">
        <v>59.99</v>
      </c>
      <c r="V132" s="12"/>
    </row>
    <row r="133" spans="1:22" x14ac:dyDescent="0.25">
      <c r="A133" s="12">
        <v>2024</v>
      </c>
      <c r="B133" s="12" t="s">
        <v>457</v>
      </c>
      <c r="C133" s="12" t="s">
        <v>244</v>
      </c>
      <c r="D133" s="12" t="s">
        <v>245</v>
      </c>
      <c r="E133" s="12" t="s">
        <v>246</v>
      </c>
      <c r="F133" s="12" t="s">
        <v>469</v>
      </c>
      <c r="G133" s="12">
        <v>202</v>
      </c>
      <c r="H133" s="12">
        <v>2</v>
      </c>
      <c r="I133" s="12">
        <v>2</v>
      </c>
      <c r="J133" s="12">
        <v>1</v>
      </c>
      <c r="K133" s="12">
        <v>5</v>
      </c>
      <c r="L133" s="13" t="s">
        <v>339</v>
      </c>
      <c r="M133" s="13" t="s">
        <v>30</v>
      </c>
      <c r="N133" s="12">
        <v>12.18</v>
      </c>
      <c r="O133" s="12">
        <v>22.5</v>
      </c>
      <c r="P133" s="12">
        <v>40.6</v>
      </c>
      <c r="Q133" s="26">
        <f t="shared" si="2"/>
        <v>10.726704545454545</v>
      </c>
      <c r="R133" s="12">
        <v>842.77</v>
      </c>
      <c r="S133" s="12">
        <v>7151.87</v>
      </c>
      <c r="T133" s="12">
        <v>71.08</v>
      </c>
      <c r="U133" s="12">
        <v>65.239999999999995</v>
      </c>
      <c r="V133" s="12"/>
    </row>
    <row r="134" spans="1:22" x14ac:dyDescent="0.25">
      <c r="A134" s="12">
        <v>2024</v>
      </c>
      <c r="B134" s="12" t="s">
        <v>457</v>
      </c>
      <c r="C134" s="12" t="s">
        <v>244</v>
      </c>
      <c r="D134" s="12" t="s">
        <v>245</v>
      </c>
      <c r="E134" s="12" t="s">
        <v>246</v>
      </c>
      <c r="F134" s="12" t="s">
        <v>470</v>
      </c>
      <c r="G134" s="12">
        <v>203</v>
      </c>
      <c r="H134" s="12">
        <v>3</v>
      </c>
      <c r="I134" s="12">
        <v>2</v>
      </c>
      <c r="J134" s="12">
        <v>1</v>
      </c>
      <c r="K134" s="12">
        <v>15</v>
      </c>
      <c r="L134" s="13" t="s">
        <v>336</v>
      </c>
      <c r="M134" s="13" t="s">
        <v>53</v>
      </c>
      <c r="N134" s="12">
        <v>14.01</v>
      </c>
      <c r="O134" s="12">
        <v>19</v>
      </c>
      <c r="P134" s="12">
        <v>41.4</v>
      </c>
      <c r="Q134" s="26">
        <f t="shared" si="2"/>
        <v>12.895568181818183</v>
      </c>
      <c r="R134" s="12">
        <v>1013.17</v>
      </c>
      <c r="S134" s="12">
        <v>8597.93</v>
      </c>
      <c r="T134" s="12">
        <v>71.12</v>
      </c>
      <c r="U134" s="12">
        <v>59.02</v>
      </c>
      <c r="V134" s="12"/>
    </row>
    <row r="135" spans="1:22" x14ac:dyDescent="0.25">
      <c r="A135" s="12">
        <v>2024</v>
      </c>
      <c r="B135" s="12" t="s">
        <v>457</v>
      </c>
      <c r="C135" s="12" t="s">
        <v>244</v>
      </c>
      <c r="D135" s="12" t="s">
        <v>245</v>
      </c>
      <c r="E135" s="12" t="s">
        <v>246</v>
      </c>
      <c r="F135" s="12" t="s">
        <v>471</v>
      </c>
      <c r="G135" s="12">
        <v>204</v>
      </c>
      <c r="H135" s="12">
        <v>4</v>
      </c>
      <c r="I135" s="12">
        <v>2</v>
      </c>
      <c r="J135" s="12">
        <v>1</v>
      </c>
      <c r="K135" s="12">
        <v>7</v>
      </c>
      <c r="L135" s="13" t="s">
        <v>69</v>
      </c>
      <c r="M135" s="13" t="s">
        <v>538</v>
      </c>
      <c r="N135" s="12">
        <v>12.5</v>
      </c>
      <c r="O135" s="12">
        <v>15</v>
      </c>
      <c r="P135" s="12">
        <v>43.5</v>
      </c>
      <c r="Q135" s="26">
        <f t="shared" si="2"/>
        <v>12.073863636363637</v>
      </c>
      <c r="R135" s="12">
        <v>948.61</v>
      </c>
      <c r="S135" s="12">
        <v>8050.07</v>
      </c>
      <c r="T135" s="12">
        <v>72.87</v>
      </c>
      <c r="U135" s="12">
        <v>58.36</v>
      </c>
      <c r="V135" s="12"/>
    </row>
    <row r="136" spans="1:22" x14ac:dyDescent="0.25">
      <c r="A136" s="12">
        <v>2024</v>
      </c>
      <c r="B136" s="12" t="s">
        <v>457</v>
      </c>
      <c r="C136" s="12" t="s">
        <v>244</v>
      </c>
      <c r="D136" s="12" t="s">
        <v>245</v>
      </c>
      <c r="E136" s="12" t="s">
        <v>246</v>
      </c>
      <c r="F136" s="12" t="s">
        <v>472</v>
      </c>
      <c r="G136" s="12">
        <v>205</v>
      </c>
      <c r="H136" s="12">
        <v>5</v>
      </c>
      <c r="I136" s="12">
        <v>2</v>
      </c>
      <c r="J136" s="12">
        <v>1</v>
      </c>
      <c r="K136" s="12">
        <v>6</v>
      </c>
      <c r="L136" s="13" t="s">
        <v>339</v>
      </c>
      <c r="M136" s="13" t="s">
        <v>53</v>
      </c>
      <c r="N136" s="12">
        <v>12.22</v>
      </c>
      <c r="O136" s="12">
        <v>22.4</v>
      </c>
      <c r="P136" s="12">
        <v>40.9</v>
      </c>
      <c r="Q136" s="26">
        <f t="shared" si="2"/>
        <v>10.775818181818183</v>
      </c>
      <c r="R136" s="12">
        <v>846.62</v>
      </c>
      <c r="S136" s="12">
        <v>7184.62</v>
      </c>
      <c r="T136" s="12">
        <v>71.319999999999993</v>
      </c>
      <c r="U136" s="12">
        <v>66.28</v>
      </c>
      <c r="V136" s="12"/>
    </row>
    <row r="137" spans="1:22" x14ac:dyDescent="0.25">
      <c r="A137" s="12">
        <v>2024</v>
      </c>
      <c r="B137" s="12" t="s">
        <v>457</v>
      </c>
      <c r="C137" s="12" t="s">
        <v>244</v>
      </c>
      <c r="D137" s="12" t="s">
        <v>245</v>
      </c>
      <c r="E137" s="12" t="s">
        <v>246</v>
      </c>
      <c r="F137" s="12" t="s">
        <v>473</v>
      </c>
      <c r="G137" s="12">
        <v>206</v>
      </c>
      <c r="H137" s="12">
        <v>6</v>
      </c>
      <c r="I137" s="12">
        <v>2</v>
      </c>
      <c r="J137" s="12">
        <v>1</v>
      </c>
      <c r="K137" s="12">
        <v>4</v>
      </c>
      <c r="L137" s="13" t="s">
        <v>339</v>
      </c>
      <c r="M137" s="13" t="s">
        <v>538</v>
      </c>
      <c r="N137" s="12">
        <v>13.21</v>
      </c>
      <c r="O137" s="12">
        <v>22.5</v>
      </c>
      <c r="P137" s="12">
        <v>40.9</v>
      </c>
      <c r="Q137" s="26">
        <f t="shared" si="2"/>
        <v>11.633806818181819</v>
      </c>
      <c r="R137" s="12">
        <v>914.03</v>
      </c>
      <c r="S137" s="12">
        <v>7756.67</v>
      </c>
      <c r="T137" s="12">
        <v>70.98</v>
      </c>
      <c r="U137" s="12">
        <v>65.81</v>
      </c>
      <c r="V137" s="12"/>
    </row>
    <row r="138" spans="1:22" x14ac:dyDescent="0.25">
      <c r="A138" s="12">
        <v>2024</v>
      </c>
      <c r="B138" s="12" t="s">
        <v>457</v>
      </c>
      <c r="C138" s="12" t="s">
        <v>244</v>
      </c>
      <c r="D138" s="12" t="s">
        <v>245</v>
      </c>
      <c r="E138" s="12" t="s">
        <v>246</v>
      </c>
      <c r="F138" s="12" t="s">
        <v>474</v>
      </c>
      <c r="G138" s="12">
        <v>207</v>
      </c>
      <c r="H138" s="12">
        <v>7</v>
      </c>
      <c r="I138" s="12">
        <v>2</v>
      </c>
      <c r="J138" s="12">
        <v>1</v>
      </c>
      <c r="K138" s="12">
        <v>20</v>
      </c>
      <c r="L138" s="13" t="s">
        <v>82</v>
      </c>
      <c r="M138" s="13" t="s">
        <v>538</v>
      </c>
      <c r="N138" s="12">
        <v>12.05</v>
      </c>
      <c r="O138" s="12">
        <v>17</v>
      </c>
      <c r="P138" s="12">
        <v>42.5</v>
      </c>
      <c r="Q138" s="26">
        <f t="shared" si="2"/>
        <v>11.365340909090909</v>
      </c>
      <c r="R138" s="12">
        <v>892.94</v>
      </c>
      <c r="S138" s="12">
        <v>7577.67</v>
      </c>
      <c r="T138" s="12">
        <v>72.069999999999993</v>
      </c>
      <c r="U138" s="12">
        <v>61.41</v>
      </c>
      <c r="V138" s="12"/>
    </row>
    <row r="139" spans="1:22" x14ac:dyDescent="0.25">
      <c r="A139" s="12">
        <v>2024</v>
      </c>
      <c r="B139" s="12" t="s">
        <v>457</v>
      </c>
      <c r="C139" s="12" t="s">
        <v>244</v>
      </c>
      <c r="D139" s="12" t="s">
        <v>245</v>
      </c>
      <c r="E139" s="12" t="s">
        <v>246</v>
      </c>
      <c r="F139" s="12" t="s">
        <v>475</v>
      </c>
      <c r="G139" s="12">
        <v>208</v>
      </c>
      <c r="H139" s="12">
        <v>8</v>
      </c>
      <c r="I139" s="12">
        <v>2</v>
      </c>
      <c r="J139" s="12">
        <v>1</v>
      </c>
      <c r="K139" s="12">
        <v>13</v>
      </c>
      <c r="L139" s="13" t="s">
        <v>336</v>
      </c>
      <c r="M139" s="13" t="s">
        <v>538</v>
      </c>
      <c r="N139" s="12">
        <v>12.92</v>
      </c>
      <c r="O139" s="12">
        <v>20.8</v>
      </c>
      <c r="P139" s="12">
        <v>40.4</v>
      </c>
      <c r="Q139" s="26">
        <f t="shared" si="2"/>
        <v>11.628</v>
      </c>
      <c r="R139" s="12">
        <v>913.58</v>
      </c>
      <c r="S139" s="12">
        <v>7752.79</v>
      </c>
      <c r="T139" s="12">
        <v>71.27</v>
      </c>
      <c r="U139" s="12">
        <v>57.74</v>
      </c>
      <c r="V139" s="12"/>
    </row>
    <row r="140" spans="1:22" x14ac:dyDescent="0.25">
      <c r="A140" s="12">
        <v>2024</v>
      </c>
      <c r="B140" s="12" t="s">
        <v>457</v>
      </c>
      <c r="C140" s="12" t="s">
        <v>244</v>
      </c>
      <c r="D140" s="12" t="s">
        <v>245</v>
      </c>
      <c r="E140" s="12" t="s">
        <v>246</v>
      </c>
      <c r="F140" s="12" t="s">
        <v>476</v>
      </c>
      <c r="G140" s="12">
        <v>209</v>
      </c>
      <c r="H140" s="12">
        <v>9</v>
      </c>
      <c r="I140" s="12">
        <v>2</v>
      </c>
      <c r="J140" s="12">
        <v>1</v>
      </c>
      <c r="K140" s="12">
        <v>17</v>
      </c>
      <c r="L140" s="13" t="s">
        <v>42</v>
      </c>
      <c r="M140" s="13" t="s">
        <v>30</v>
      </c>
      <c r="N140" s="12">
        <v>9.59</v>
      </c>
      <c r="O140" s="12">
        <v>16.8</v>
      </c>
      <c r="P140" s="12">
        <v>42.5</v>
      </c>
      <c r="Q140" s="26">
        <f t="shared" si="2"/>
        <v>9.0669090909090908</v>
      </c>
      <c r="R140" s="12">
        <v>712.36</v>
      </c>
      <c r="S140" s="12">
        <v>6045.23</v>
      </c>
      <c r="T140" s="12">
        <v>72.77</v>
      </c>
      <c r="U140" s="12">
        <v>64.2</v>
      </c>
      <c r="V140" s="12"/>
    </row>
    <row r="141" spans="1:22" x14ac:dyDescent="0.25">
      <c r="A141" s="12">
        <v>2024</v>
      </c>
      <c r="B141" s="12" t="s">
        <v>457</v>
      </c>
      <c r="C141" s="12" t="s">
        <v>244</v>
      </c>
      <c r="D141" s="12" t="s">
        <v>245</v>
      </c>
      <c r="E141" s="12" t="s">
        <v>246</v>
      </c>
      <c r="F141" s="12" t="s">
        <v>477</v>
      </c>
      <c r="G141" s="12">
        <v>210</v>
      </c>
      <c r="H141" s="12">
        <v>10</v>
      </c>
      <c r="I141" s="12">
        <v>2</v>
      </c>
      <c r="J141" s="12">
        <v>1</v>
      </c>
      <c r="K141" s="12">
        <v>8</v>
      </c>
      <c r="L141" s="13" t="s">
        <v>69</v>
      </c>
      <c r="M141" s="13" t="s">
        <v>30</v>
      </c>
      <c r="N141" s="12">
        <v>12.15</v>
      </c>
      <c r="O141" s="12">
        <v>13.1</v>
      </c>
      <c r="P141" s="12">
        <v>44.5</v>
      </c>
      <c r="Q141" s="26">
        <f t="shared" si="2"/>
        <v>11.998125000000002</v>
      </c>
      <c r="R141" s="12">
        <v>942.66</v>
      </c>
      <c r="S141" s="12">
        <v>7999.57</v>
      </c>
      <c r="T141" s="12">
        <v>72.56</v>
      </c>
      <c r="U141" s="12">
        <v>51.4</v>
      </c>
      <c r="V141" s="12"/>
    </row>
    <row r="142" spans="1:22" x14ac:dyDescent="0.25">
      <c r="A142" s="12">
        <v>2024</v>
      </c>
      <c r="B142" s="12" t="s">
        <v>457</v>
      </c>
      <c r="C142" s="12" t="s">
        <v>244</v>
      </c>
      <c r="D142" s="12" t="s">
        <v>245</v>
      </c>
      <c r="E142" s="12" t="s">
        <v>246</v>
      </c>
      <c r="F142" s="12" t="s">
        <v>478</v>
      </c>
      <c r="G142" s="12">
        <v>301</v>
      </c>
      <c r="H142" s="12">
        <v>1</v>
      </c>
      <c r="I142" s="12">
        <v>3</v>
      </c>
      <c r="J142" s="12">
        <v>2</v>
      </c>
      <c r="K142" s="12">
        <v>15</v>
      </c>
      <c r="L142" s="13" t="s">
        <v>336</v>
      </c>
      <c r="M142" s="13" t="s">
        <v>53</v>
      </c>
      <c r="N142" s="12">
        <v>13.2</v>
      </c>
      <c r="O142" s="12">
        <v>19.100000000000001</v>
      </c>
      <c r="P142" s="12">
        <v>41</v>
      </c>
      <c r="Q142" s="26">
        <f t="shared" si="2"/>
        <v>12.134999999999998</v>
      </c>
      <c r="R142" s="12">
        <v>953.41</v>
      </c>
      <c r="S142" s="12">
        <v>8090.83</v>
      </c>
      <c r="T142" s="12">
        <v>71.37</v>
      </c>
      <c r="U142" s="12">
        <v>58.09</v>
      </c>
      <c r="V142" s="12"/>
    </row>
    <row r="143" spans="1:22" x14ac:dyDescent="0.25">
      <c r="A143" s="12">
        <v>2024</v>
      </c>
      <c r="B143" s="12" t="s">
        <v>457</v>
      </c>
      <c r="C143" s="12" t="s">
        <v>244</v>
      </c>
      <c r="D143" s="12" t="s">
        <v>245</v>
      </c>
      <c r="E143" s="12" t="s">
        <v>246</v>
      </c>
      <c r="F143" s="12" t="s">
        <v>479</v>
      </c>
      <c r="G143" s="12">
        <v>302</v>
      </c>
      <c r="H143" s="12">
        <v>2</v>
      </c>
      <c r="I143" s="12">
        <v>3</v>
      </c>
      <c r="J143" s="12">
        <v>2</v>
      </c>
      <c r="K143" s="12">
        <v>19</v>
      </c>
      <c r="L143" s="13" t="s">
        <v>113</v>
      </c>
      <c r="M143" s="13" t="s">
        <v>538</v>
      </c>
      <c r="N143" s="12">
        <v>12.37</v>
      </c>
      <c r="O143" s="12">
        <v>16.7</v>
      </c>
      <c r="P143" s="12">
        <v>42.4</v>
      </c>
      <c r="Q143" s="26">
        <f t="shared" si="2"/>
        <v>11.709329545454544</v>
      </c>
      <c r="R143" s="12">
        <v>919.97</v>
      </c>
      <c r="S143" s="12">
        <v>7807.02</v>
      </c>
      <c r="T143" s="12">
        <v>71.040000000000006</v>
      </c>
      <c r="U143" s="12">
        <v>59.68</v>
      </c>
      <c r="V143" s="12"/>
    </row>
    <row r="144" spans="1:22" x14ac:dyDescent="0.25">
      <c r="A144" s="12">
        <v>2024</v>
      </c>
      <c r="B144" s="12" t="s">
        <v>457</v>
      </c>
      <c r="C144" s="12" t="s">
        <v>244</v>
      </c>
      <c r="D144" s="12" t="s">
        <v>245</v>
      </c>
      <c r="E144" s="12" t="s">
        <v>246</v>
      </c>
      <c r="F144" s="12" t="s">
        <v>480</v>
      </c>
      <c r="G144" s="12">
        <v>303</v>
      </c>
      <c r="H144" s="12">
        <v>3</v>
      </c>
      <c r="I144" s="12">
        <v>3</v>
      </c>
      <c r="J144" s="12">
        <v>2</v>
      </c>
      <c r="K144" s="12">
        <v>5</v>
      </c>
      <c r="L144" s="13" t="s">
        <v>339</v>
      </c>
      <c r="M144" s="13" t="s">
        <v>30</v>
      </c>
      <c r="N144" s="12">
        <v>14.99</v>
      </c>
      <c r="O144" s="12">
        <v>24.4</v>
      </c>
      <c r="P144" s="12">
        <v>39.799999999999997</v>
      </c>
      <c r="Q144" s="26">
        <f t="shared" si="2"/>
        <v>12.877772727272728</v>
      </c>
      <c r="R144" s="12">
        <v>1011.77</v>
      </c>
      <c r="S144" s="12">
        <v>8586.06</v>
      </c>
      <c r="T144" s="12">
        <v>70.59</v>
      </c>
      <c r="U144" s="12">
        <v>64.260000000000005</v>
      </c>
      <c r="V144" s="12"/>
    </row>
    <row r="145" spans="1:22" x14ac:dyDescent="0.25">
      <c r="A145" s="12">
        <v>2024</v>
      </c>
      <c r="B145" s="12" t="s">
        <v>457</v>
      </c>
      <c r="C145" s="12" t="s">
        <v>244</v>
      </c>
      <c r="D145" s="12" t="s">
        <v>245</v>
      </c>
      <c r="E145" s="12" t="s">
        <v>246</v>
      </c>
      <c r="F145" s="12" t="s">
        <v>481</v>
      </c>
      <c r="G145" s="12">
        <v>304</v>
      </c>
      <c r="H145" s="12">
        <v>4</v>
      </c>
      <c r="I145" s="12">
        <v>3</v>
      </c>
      <c r="J145" s="12">
        <v>2</v>
      </c>
      <c r="K145" s="12">
        <v>3</v>
      </c>
      <c r="L145" s="13" t="s">
        <v>100</v>
      </c>
      <c r="M145" s="13" t="s">
        <v>53</v>
      </c>
      <c r="N145" s="12">
        <v>13.12</v>
      </c>
      <c r="O145" s="12">
        <v>15.3</v>
      </c>
      <c r="P145" s="12">
        <v>43.1</v>
      </c>
      <c r="Q145" s="26">
        <f t="shared" si="2"/>
        <v>12.627999999999998</v>
      </c>
      <c r="R145" s="12">
        <v>992.14</v>
      </c>
      <c r="S145" s="12">
        <v>8419.5300000000007</v>
      </c>
      <c r="T145" s="12">
        <v>71.7</v>
      </c>
      <c r="U145" s="12">
        <v>54.88</v>
      </c>
      <c r="V145" s="12"/>
    </row>
    <row r="146" spans="1:22" x14ac:dyDescent="0.25">
      <c r="A146" s="12">
        <v>2024</v>
      </c>
      <c r="B146" s="12" t="s">
        <v>457</v>
      </c>
      <c r="C146" s="12" t="s">
        <v>244</v>
      </c>
      <c r="D146" s="12" t="s">
        <v>245</v>
      </c>
      <c r="E146" s="12" t="s">
        <v>246</v>
      </c>
      <c r="F146" s="12" t="s">
        <v>482</v>
      </c>
      <c r="G146" s="12">
        <v>305</v>
      </c>
      <c r="H146" s="12">
        <v>5</v>
      </c>
      <c r="I146" s="12">
        <v>3</v>
      </c>
      <c r="J146" s="12">
        <v>2</v>
      </c>
      <c r="K146" s="12">
        <v>17</v>
      </c>
      <c r="L146" s="13" t="s">
        <v>42</v>
      </c>
      <c r="M146" s="13" t="s">
        <v>30</v>
      </c>
      <c r="N146" s="12">
        <v>10.3</v>
      </c>
      <c r="O146" s="12">
        <v>18.7</v>
      </c>
      <c r="P146" s="12">
        <v>41.6</v>
      </c>
      <c r="Q146" s="26">
        <f t="shared" si="2"/>
        <v>9.5157954545454562</v>
      </c>
      <c r="R146" s="12">
        <v>747.63</v>
      </c>
      <c r="S146" s="12">
        <v>6344.51</v>
      </c>
      <c r="T146" s="12">
        <v>73.010000000000005</v>
      </c>
      <c r="U146" s="12">
        <v>64.34</v>
      </c>
      <c r="V146" s="12"/>
    </row>
    <row r="147" spans="1:22" x14ac:dyDescent="0.25">
      <c r="A147" s="12">
        <v>2024</v>
      </c>
      <c r="B147" s="12" t="s">
        <v>457</v>
      </c>
      <c r="C147" s="12" t="s">
        <v>244</v>
      </c>
      <c r="D147" s="12" t="s">
        <v>245</v>
      </c>
      <c r="E147" s="12" t="s">
        <v>246</v>
      </c>
      <c r="F147" s="12" t="s">
        <v>483</v>
      </c>
      <c r="G147" s="12">
        <v>306</v>
      </c>
      <c r="H147" s="12">
        <v>6</v>
      </c>
      <c r="I147" s="12">
        <v>3</v>
      </c>
      <c r="J147" s="12">
        <v>2</v>
      </c>
      <c r="K147" s="12">
        <v>16</v>
      </c>
      <c r="L147" s="13" t="s">
        <v>42</v>
      </c>
      <c r="M147" s="13" t="s">
        <v>538</v>
      </c>
      <c r="N147" s="12">
        <v>11.41</v>
      </c>
      <c r="O147" s="12">
        <v>17.2</v>
      </c>
      <c r="P147" s="12">
        <v>42.1</v>
      </c>
      <c r="Q147" s="26">
        <f t="shared" si="2"/>
        <v>10.735772727272728</v>
      </c>
      <c r="R147" s="12">
        <v>843.48</v>
      </c>
      <c r="S147" s="12">
        <v>7157.92</v>
      </c>
      <c r="T147" s="12">
        <v>73.040000000000006</v>
      </c>
      <c r="U147" s="12">
        <v>61.36</v>
      </c>
      <c r="V147" s="12"/>
    </row>
    <row r="148" spans="1:22" x14ac:dyDescent="0.25">
      <c r="A148" s="12">
        <v>2024</v>
      </c>
      <c r="B148" s="12" t="s">
        <v>457</v>
      </c>
      <c r="C148" s="12" t="s">
        <v>244</v>
      </c>
      <c r="D148" s="12" t="s">
        <v>245</v>
      </c>
      <c r="E148" s="12" t="s">
        <v>246</v>
      </c>
      <c r="F148" s="12" t="s">
        <v>484</v>
      </c>
      <c r="G148" s="12">
        <v>307</v>
      </c>
      <c r="H148" s="12">
        <v>7</v>
      </c>
      <c r="I148" s="12">
        <v>3</v>
      </c>
      <c r="J148" s="12">
        <v>2</v>
      </c>
      <c r="K148" s="12">
        <v>1</v>
      </c>
      <c r="L148" s="13" t="s">
        <v>100</v>
      </c>
      <c r="M148" s="13" t="s">
        <v>538</v>
      </c>
      <c r="N148" s="12">
        <v>11.67</v>
      </c>
      <c r="O148" s="12">
        <v>14.9</v>
      </c>
      <c r="P148" s="12">
        <v>43.4</v>
      </c>
      <c r="Q148" s="26">
        <f t="shared" si="2"/>
        <v>11.285420454545454</v>
      </c>
      <c r="R148" s="12">
        <v>886.66</v>
      </c>
      <c r="S148" s="12">
        <v>7524.38</v>
      </c>
      <c r="T148" s="12">
        <v>72.27</v>
      </c>
      <c r="U148" s="12">
        <v>56.78</v>
      </c>
      <c r="V148" s="12"/>
    </row>
    <row r="149" spans="1:22" x14ac:dyDescent="0.25">
      <c r="A149" s="12">
        <v>2024</v>
      </c>
      <c r="B149" s="12" t="s">
        <v>457</v>
      </c>
      <c r="C149" s="12" t="s">
        <v>244</v>
      </c>
      <c r="D149" s="12" t="s">
        <v>245</v>
      </c>
      <c r="E149" s="12" t="s">
        <v>246</v>
      </c>
      <c r="F149" s="12" t="s">
        <v>485</v>
      </c>
      <c r="G149" s="12">
        <v>308</v>
      </c>
      <c r="H149" s="12">
        <v>8</v>
      </c>
      <c r="I149" s="12">
        <v>3</v>
      </c>
      <c r="J149" s="12">
        <v>2</v>
      </c>
      <c r="K149" s="12">
        <v>6</v>
      </c>
      <c r="L149" s="13" t="s">
        <v>339</v>
      </c>
      <c r="M149" s="13" t="s">
        <v>53</v>
      </c>
      <c r="N149" s="12">
        <v>12.34</v>
      </c>
      <c r="O149" s="12">
        <v>21.8</v>
      </c>
      <c r="P149" s="12">
        <v>40.9</v>
      </c>
      <c r="Q149" s="26">
        <f t="shared" si="2"/>
        <v>10.965772727272727</v>
      </c>
      <c r="R149" s="12">
        <v>861.55</v>
      </c>
      <c r="S149" s="12">
        <v>7311.26</v>
      </c>
      <c r="T149" s="12">
        <v>71.12</v>
      </c>
      <c r="U149" s="12">
        <v>65.53</v>
      </c>
      <c r="V149" s="12"/>
    </row>
    <row r="150" spans="1:22" x14ac:dyDescent="0.25">
      <c r="A150" s="12">
        <v>2024</v>
      </c>
      <c r="B150" s="12" t="s">
        <v>457</v>
      </c>
      <c r="C150" s="12" t="s">
        <v>244</v>
      </c>
      <c r="D150" s="12" t="s">
        <v>245</v>
      </c>
      <c r="E150" s="12" t="s">
        <v>246</v>
      </c>
      <c r="F150" s="12" t="s">
        <v>486</v>
      </c>
      <c r="G150" s="12">
        <v>309</v>
      </c>
      <c r="H150" s="12">
        <v>9</v>
      </c>
      <c r="I150" s="12">
        <v>3</v>
      </c>
      <c r="J150" s="12">
        <v>2</v>
      </c>
      <c r="K150" s="12">
        <v>14</v>
      </c>
      <c r="L150" s="13" t="s">
        <v>336</v>
      </c>
      <c r="M150" s="13" t="s">
        <v>30</v>
      </c>
      <c r="N150" s="12">
        <v>13.34</v>
      </c>
      <c r="O150" s="12">
        <v>17.100000000000001</v>
      </c>
      <c r="P150" s="12">
        <v>42.1</v>
      </c>
      <c r="Q150" s="26">
        <f t="shared" si="2"/>
        <v>12.566886363636362</v>
      </c>
      <c r="R150" s="12">
        <v>987.34</v>
      </c>
      <c r="S150" s="12">
        <v>8378.7800000000007</v>
      </c>
      <c r="T150" s="12">
        <v>70.989999999999995</v>
      </c>
      <c r="U150" s="12">
        <v>58.02</v>
      </c>
      <c r="V150" s="12"/>
    </row>
    <row r="151" spans="1:22" x14ac:dyDescent="0.25">
      <c r="A151" s="12">
        <v>2024</v>
      </c>
      <c r="B151" s="12" t="s">
        <v>457</v>
      </c>
      <c r="C151" s="12" t="s">
        <v>244</v>
      </c>
      <c r="D151" s="12" t="s">
        <v>245</v>
      </c>
      <c r="E151" s="12" t="s">
        <v>246</v>
      </c>
      <c r="F151" s="12" t="s">
        <v>487</v>
      </c>
      <c r="G151" s="12">
        <v>310</v>
      </c>
      <c r="H151" s="12">
        <v>10</v>
      </c>
      <c r="I151" s="12">
        <v>3</v>
      </c>
      <c r="J151" s="12">
        <v>2</v>
      </c>
      <c r="K151" s="12">
        <v>7</v>
      </c>
      <c r="L151" s="13" t="s">
        <v>69</v>
      </c>
      <c r="M151" s="13" t="s">
        <v>538</v>
      </c>
      <c r="N151" s="12">
        <v>11.05</v>
      </c>
      <c r="O151" s="12">
        <v>13.3</v>
      </c>
      <c r="P151" s="12">
        <v>44.3</v>
      </c>
      <c r="Q151" s="26">
        <f t="shared" si="2"/>
        <v>10.886761363636365</v>
      </c>
      <c r="R151" s="12">
        <v>855.34</v>
      </c>
      <c r="S151" s="12">
        <v>7258.58</v>
      </c>
      <c r="T151" s="12">
        <v>71.56</v>
      </c>
      <c r="U151" s="12">
        <v>49.31</v>
      </c>
      <c r="V151" s="12"/>
    </row>
    <row r="152" spans="1:22" x14ac:dyDescent="0.25">
      <c r="A152" s="12">
        <v>2024</v>
      </c>
      <c r="B152" s="12" t="s">
        <v>457</v>
      </c>
      <c r="C152" s="12" t="s">
        <v>244</v>
      </c>
      <c r="D152" s="12" t="s">
        <v>245</v>
      </c>
      <c r="E152" s="12" t="s">
        <v>246</v>
      </c>
      <c r="F152" s="12" t="s">
        <v>488</v>
      </c>
      <c r="G152" s="12">
        <v>401</v>
      </c>
      <c r="H152" s="12">
        <v>1</v>
      </c>
      <c r="I152" s="12">
        <v>4</v>
      </c>
      <c r="J152" s="12">
        <v>2</v>
      </c>
      <c r="K152" s="12">
        <v>13</v>
      </c>
      <c r="L152" s="13" t="s">
        <v>336</v>
      </c>
      <c r="M152" s="13" t="s">
        <v>538</v>
      </c>
      <c r="N152" s="12">
        <v>14.34</v>
      </c>
      <c r="O152" s="12">
        <v>18.7</v>
      </c>
      <c r="P152" s="12">
        <v>41.2</v>
      </c>
      <c r="Q152" s="26">
        <f t="shared" si="2"/>
        <v>13.248204545454545</v>
      </c>
      <c r="R152" s="12">
        <v>1040.8699999999999</v>
      </c>
      <c r="S152" s="12">
        <v>8833.0400000000009</v>
      </c>
      <c r="T152" s="12">
        <v>70.84</v>
      </c>
      <c r="U152" s="12">
        <v>58.11</v>
      </c>
      <c r="V152" s="12"/>
    </row>
    <row r="153" spans="1:22" x14ac:dyDescent="0.25">
      <c r="A153" s="12">
        <v>2024</v>
      </c>
      <c r="B153" s="12" t="s">
        <v>457</v>
      </c>
      <c r="C153" s="12" t="s">
        <v>244</v>
      </c>
      <c r="D153" s="12" t="s">
        <v>245</v>
      </c>
      <c r="E153" s="12" t="s">
        <v>246</v>
      </c>
      <c r="F153" s="12" t="s">
        <v>489</v>
      </c>
      <c r="G153" s="12">
        <v>402</v>
      </c>
      <c r="H153" s="12">
        <v>2</v>
      </c>
      <c r="I153" s="12">
        <v>4</v>
      </c>
      <c r="J153" s="12">
        <v>2</v>
      </c>
      <c r="K153" s="12">
        <v>12</v>
      </c>
      <c r="L153" s="13" t="s">
        <v>27</v>
      </c>
      <c r="M153" s="13" t="s">
        <v>53</v>
      </c>
      <c r="N153" s="12">
        <v>10.17</v>
      </c>
      <c r="O153" s="12">
        <v>16.399999999999999</v>
      </c>
      <c r="P153" s="12">
        <v>42.5</v>
      </c>
      <c r="Q153" s="26">
        <f t="shared" si="2"/>
        <v>9.661500000000002</v>
      </c>
      <c r="R153" s="12">
        <v>759.08</v>
      </c>
      <c r="S153" s="12">
        <v>6441.66</v>
      </c>
      <c r="T153" s="12">
        <v>74.739999999999995</v>
      </c>
      <c r="U153" s="12">
        <v>64.61</v>
      </c>
      <c r="V153" s="12"/>
    </row>
    <row r="154" spans="1:22" x14ac:dyDescent="0.25">
      <c r="A154" s="12">
        <v>2024</v>
      </c>
      <c r="B154" s="12" t="s">
        <v>457</v>
      </c>
      <c r="C154" s="12" t="s">
        <v>244</v>
      </c>
      <c r="D154" s="12" t="s">
        <v>245</v>
      </c>
      <c r="E154" s="12" t="s">
        <v>246</v>
      </c>
      <c r="F154" s="12" t="s">
        <v>490</v>
      </c>
      <c r="G154" s="12">
        <v>403</v>
      </c>
      <c r="H154" s="12">
        <v>3</v>
      </c>
      <c r="I154" s="12">
        <v>4</v>
      </c>
      <c r="J154" s="12">
        <v>2</v>
      </c>
      <c r="K154" s="12">
        <v>10</v>
      </c>
      <c r="L154" s="13" t="s">
        <v>27</v>
      </c>
      <c r="M154" s="13" t="s">
        <v>538</v>
      </c>
      <c r="N154" s="12">
        <v>10.82</v>
      </c>
      <c r="O154" s="12">
        <v>18.5</v>
      </c>
      <c r="P154" s="12">
        <v>41.6</v>
      </c>
      <c r="Q154" s="26">
        <f t="shared" si="2"/>
        <v>10.020795454545453</v>
      </c>
      <c r="R154" s="12">
        <v>787.3</v>
      </c>
      <c r="S154" s="12">
        <v>6681.22</v>
      </c>
      <c r="T154" s="12">
        <v>75.19</v>
      </c>
      <c r="U154" s="12">
        <v>65.2</v>
      </c>
      <c r="V154" s="12"/>
    </row>
    <row r="155" spans="1:22" x14ac:dyDescent="0.25">
      <c r="A155" s="12">
        <v>2024</v>
      </c>
      <c r="B155" s="12" t="s">
        <v>457</v>
      </c>
      <c r="C155" s="12" t="s">
        <v>244</v>
      </c>
      <c r="D155" s="12" t="s">
        <v>245</v>
      </c>
      <c r="E155" s="12" t="s">
        <v>246</v>
      </c>
      <c r="F155" s="12" t="s">
        <v>491</v>
      </c>
      <c r="G155" s="12">
        <v>404</v>
      </c>
      <c r="H155" s="12">
        <v>4</v>
      </c>
      <c r="I155" s="12">
        <v>4</v>
      </c>
      <c r="J155" s="12">
        <v>2</v>
      </c>
      <c r="K155" s="12">
        <v>9</v>
      </c>
      <c r="L155" s="13" t="s">
        <v>69</v>
      </c>
      <c r="M155" s="13" t="s">
        <v>53</v>
      </c>
      <c r="N155" s="12">
        <v>13.03</v>
      </c>
      <c r="O155" s="12">
        <v>14.9</v>
      </c>
      <c r="P155" s="12">
        <v>43.4</v>
      </c>
      <c r="Q155" s="26">
        <f t="shared" si="2"/>
        <v>12.60060227272727</v>
      </c>
      <c r="R155" s="12">
        <v>989.99</v>
      </c>
      <c r="S155" s="12">
        <v>8401.26</v>
      </c>
      <c r="T155" s="12">
        <v>72.63</v>
      </c>
      <c r="U155" s="12">
        <v>56.35</v>
      </c>
      <c r="V155" s="12"/>
    </row>
    <row r="156" spans="1:22" x14ac:dyDescent="0.25">
      <c r="A156" s="12">
        <v>2024</v>
      </c>
      <c r="B156" s="12" t="s">
        <v>457</v>
      </c>
      <c r="C156" s="12" t="s">
        <v>244</v>
      </c>
      <c r="D156" s="12" t="s">
        <v>245</v>
      </c>
      <c r="E156" s="12" t="s">
        <v>246</v>
      </c>
      <c r="F156" s="12" t="s">
        <v>492</v>
      </c>
      <c r="G156" s="12">
        <v>405</v>
      </c>
      <c r="H156" s="12">
        <v>5</v>
      </c>
      <c r="I156" s="12">
        <v>4</v>
      </c>
      <c r="J156" s="12">
        <v>2</v>
      </c>
      <c r="K156" s="12">
        <v>18</v>
      </c>
      <c r="L156" s="13" t="s">
        <v>42</v>
      </c>
      <c r="M156" s="13" t="s">
        <v>53</v>
      </c>
      <c r="N156" s="12">
        <v>10.07</v>
      </c>
      <c r="O156" s="12">
        <v>17.3</v>
      </c>
      <c r="P156" s="12">
        <v>42.2</v>
      </c>
      <c r="Q156" s="26">
        <f t="shared" si="2"/>
        <v>9.4635113636363641</v>
      </c>
      <c r="R156" s="12">
        <v>743.52</v>
      </c>
      <c r="S156" s="12">
        <v>6309.65</v>
      </c>
      <c r="T156" s="12">
        <v>73.48</v>
      </c>
      <c r="U156" s="12">
        <v>64.03</v>
      </c>
      <c r="V156" s="12"/>
    </row>
    <row r="157" spans="1:22" x14ac:dyDescent="0.25">
      <c r="A157" s="12">
        <v>2024</v>
      </c>
      <c r="B157" s="12" t="s">
        <v>457</v>
      </c>
      <c r="C157" s="12" t="s">
        <v>244</v>
      </c>
      <c r="D157" s="12" t="s">
        <v>245</v>
      </c>
      <c r="E157" s="12" t="s">
        <v>246</v>
      </c>
      <c r="F157" s="12" t="s">
        <v>493</v>
      </c>
      <c r="G157" s="12">
        <v>406</v>
      </c>
      <c r="H157" s="12">
        <v>6</v>
      </c>
      <c r="I157" s="12">
        <v>4</v>
      </c>
      <c r="J157" s="12">
        <v>2</v>
      </c>
      <c r="K157" s="12">
        <v>8</v>
      </c>
      <c r="L157" s="13" t="s">
        <v>69</v>
      </c>
      <c r="M157" s="13" t="s">
        <v>30</v>
      </c>
      <c r="N157" s="12">
        <v>12.88</v>
      </c>
      <c r="O157" s="12">
        <v>14.4</v>
      </c>
      <c r="P157" s="12">
        <v>43.8</v>
      </c>
      <c r="Q157" s="26">
        <f t="shared" si="2"/>
        <v>12.528727272727274</v>
      </c>
      <c r="R157" s="12">
        <v>984.35</v>
      </c>
      <c r="S157" s="12">
        <v>8353.34</v>
      </c>
      <c r="T157" s="12">
        <v>72.180000000000007</v>
      </c>
      <c r="U157" s="12">
        <v>54.31</v>
      </c>
      <c r="V157" s="12"/>
    </row>
    <row r="158" spans="1:22" x14ac:dyDescent="0.25">
      <c r="A158" s="12">
        <v>2024</v>
      </c>
      <c r="B158" s="12" t="s">
        <v>457</v>
      </c>
      <c r="C158" s="12" t="s">
        <v>244</v>
      </c>
      <c r="D158" s="12" t="s">
        <v>245</v>
      </c>
      <c r="E158" s="12" t="s">
        <v>246</v>
      </c>
      <c r="F158" s="12" t="s">
        <v>494</v>
      </c>
      <c r="G158" s="12">
        <v>407</v>
      </c>
      <c r="H158" s="12">
        <v>7</v>
      </c>
      <c r="I158" s="12">
        <v>4</v>
      </c>
      <c r="J158" s="12">
        <v>2</v>
      </c>
      <c r="K158" s="12">
        <v>20</v>
      </c>
      <c r="L158" s="13" t="s">
        <v>82</v>
      </c>
      <c r="M158" s="13" t="s">
        <v>538</v>
      </c>
      <c r="N158" s="12">
        <v>10.89</v>
      </c>
      <c r="O158" s="12">
        <v>16.3</v>
      </c>
      <c r="P158" s="12">
        <v>42.7</v>
      </c>
      <c r="Q158" s="26">
        <f t="shared" si="2"/>
        <v>10.357875</v>
      </c>
      <c r="R158" s="12">
        <v>813.79</v>
      </c>
      <c r="S158" s="12">
        <v>6905.96</v>
      </c>
      <c r="T158" s="12">
        <v>72.77</v>
      </c>
      <c r="U158" s="12">
        <v>61.04</v>
      </c>
      <c r="V158" s="12"/>
    </row>
    <row r="159" spans="1:22" x14ac:dyDescent="0.25">
      <c r="A159" s="12">
        <v>2024</v>
      </c>
      <c r="B159" s="12" t="s">
        <v>457</v>
      </c>
      <c r="C159" s="12" t="s">
        <v>244</v>
      </c>
      <c r="D159" s="12" t="s">
        <v>245</v>
      </c>
      <c r="E159" s="12" t="s">
        <v>246</v>
      </c>
      <c r="F159" s="12" t="s">
        <v>495</v>
      </c>
      <c r="G159" s="12">
        <v>408</v>
      </c>
      <c r="H159" s="12">
        <v>8</v>
      </c>
      <c r="I159" s="12">
        <v>4</v>
      </c>
      <c r="J159" s="12">
        <v>2</v>
      </c>
      <c r="K159" s="12">
        <v>11</v>
      </c>
      <c r="L159" s="13" t="s">
        <v>27</v>
      </c>
      <c r="M159" s="13" t="s">
        <v>30</v>
      </c>
      <c r="N159" s="12">
        <v>10.039999999999999</v>
      </c>
      <c r="O159" s="12">
        <v>15.8</v>
      </c>
      <c r="P159" s="12">
        <v>42.9</v>
      </c>
      <c r="Q159" s="26">
        <f t="shared" si="2"/>
        <v>9.6064545454545431</v>
      </c>
      <c r="R159" s="12">
        <v>754.75</v>
      </c>
      <c r="S159" s="12">
        <v>6404.96</v>
      </c>
      <c r="T159" s="12">
        <v>75.209999999999994</v>
      </c>
      <c r="U159" s="12">
        <v>65.45</v>
      </c>
      <c r="V159" s="12"/>
    </row>
    <row r="160" spans="1:22" x14ac:dyDescent="0.25">
      <c r="A160" s="12">
        <v>2024</v>
      </c>
      <c r="B160" s="12" t="s">
        <v>457</v>
      </c>
      <c r="C160" s="12" t="s">
        <v>244</v>
      </c>
      <c r="D160" s="12" t="s">
        <v>245</v>
      </c>
      <c r="E160" s="12" t="s">
        <v>246</v>
      </c>
      <c r="F160" s="12" t="s">
        <v>496</v>
      </c>
      <c r="G160" s="12">
        <v>409</v>
      </c>
      <c r="H160" s="12">
        <v>9</v>
      </c>
      <c r="I160" s="12">
        <v>4</v>
      </c>
      <c r="J160" s="12">
        <v>2</v>
      </c>
      <c r="K160" s="12">
        <v>4</v>
      </c>
      <c r="L160" s="13" t="s">
        <v>339</v>
      </c>
      <c r="M160" s="13" t="s">
        <v>538</v>
      </c>
      <c r="N160" s="12">
        <v>12.71</v>
      </c>
      <c r="O160" s="12">
        <v>20.5</v>
      </c>
      <c r="P160" s="12">
        <v>41.4</v>
      </c>
      <c r="Q160" s="26">
        <f t="shared" si="2"/>
        <v>11.482329545454547</v>
      </c>
      <c r="R160" s="12">
        <v>902.13</v>
      </c>
      <c r="S160" s="12">
        <v>7655.67</v>
      </c>
      <c r="T160" s="12">
        <v>71.319999999999993</v>
      </c>
      <c r="U160" s="12">
        <v>64.900000000000006</v>
      </c>
      <c r="V160" s="12"/>
    </row>
    <row r="161" spans="1:22" x14ac:dyDescent="0.25">
      <c r="A161" s="12">
        <v>2024</v>
      </c>
      <c r="B161" s="12" t="s">
        <v>457</v>
      </c>
      <c r="C161" s="12" t="s">
        <v>244</v>
      </c>
      <c r="D161" s="12" t="s">
        <v>245</v>
      </c>
      <c r="E161" s="12" t="s">
        <v>246</v>
      </c>
      <c r="F161" s="12" t="s">
        <v>497</v>
      </c>
      <c r="G161" s="12">
        <v>410</v>
      </c>
      <c r="H161" s="12">
        <v>10</v>
      </c>
      <c r="I161" s="12">
        <v>4</v>
      </c>
      <c r="J161" s="12">
        <v>2</v>
      </c>
      <c r="K161" s="12">
        <v>2</v>
      </c>
      <c r="L161" s="13" t="s">
        <v>100</v>
      </c>
      <c r="M161" s="13" t="s">
        <v>30</v>
      </c>
      <c r="N161" s="12">
        <v>12.3</v>
      </c>
      <c r="O161" s="12">
        <v>14.8</v>
      </c>
      <c r="P161" s="12">
        <v>43.5</v>
      </c>
      <c r="Q161" s="26">
        <f t="shared" si="2"/>
        <v>11.908636363636363</v>
      </c>
      <c r="R161" s="12">
        <v>935.63</v>
      </c>
      <c r="S161" s="12">
        <v>7939.9</v>
      </c>
      <c r="T161" s="12">
        <v>72.06</v>
      </c>
      <c r="U161" s="12">
        <v>53.56</v>
      </c>
      <c r="V161" s="12"/>
    </row>
    <row r="162" spans="1:22" x14ac:dyDescent="0.25">
      <c r="A162" s="12">
        <v>2024</v>
      </c>
      <c r="B162" s="12" t="s">
        <v>457</v>
      </c>
      <c r="C162" s="12" t="s">
        <v>244</v>
      </c>
      <c r="D162" s="12" t="s">
        <v>245</v>
      </c>
      <c r="E162" s="12" t="s">
        <v>246</v>
      </c>
      <c r="F162" s="12" t="s">
        <v>498</v>
      </c>
      <c r="G162" s="12">
        <v>501</v>
      </c>
      <c r="H162" s="12">
        <v>1</v>
      </c>
      <c r="I162" s="12">
        <v>5</v>
      </c>
      <c r="J162" s="12">
        <v>3</v>
      </c>
      <c r="K162" s="12">
        <v>12</v>
      </c>
      <c r="L162" s="13" t="s">
        <v>27</v>
      </c>
      <c r="M162" s="13" t="s">
        <v>53</v>
      </c>
      <c r="N162" s="12">
        <v>9.83</v>
      </c>
      <c r="O162" s="12">
        <v>17.7</v>
      </c>
      <c r="P162" s="12">
        <v>41.7</v>
      </c>
      <c r="Q162" s="26">
        <f t="shared" si="2"/>
        <v>9.1932840909090903</v>
      </c>
      <c r="R162" s="12">
        <v>722.29</v>
      </c>
      <c r="S162" s="12">
        <v>6129.48</v>
      </c>
      <c r="T162" s="12">
        <v>74.44</v>
      </c>
      <c r="U162" s="12">
        <v>65.77</v>
      </c>
      <c r="V162" s="12"/>
    </row>
    <row r="163" spans="1:22" x14ac:dyDescent="0.25">
      <c r="A163" s="12">
        <v>2024</v>
      </c>
      <c r="B163" s="12" t="s">
        <v>457</v>
      </c>
      <c r="C163" s="12" t="s">
        <v>244</v>
      </c>
      <c r="D163" s="12" t="s">
        <v>245</v>
      </c>
      <c r="E163" s="12" t="s">
        <v>246</v>
      </c>
      <c r="F163" s="12" t="s">
        <v>499</v>
      </c>
      <c r="G163" s="12">
        <v>502</v>
      </c>
      <c r="H163" s="12">
        <v>2</v>
      </c>
      <c r="I163" s="12">
        <v>5</v>
      </c>
      <c r="J163" s="12">
        <v>3</v>
      </c>
      <c r="K163" s="12">
        <v>10</v>
      </c>
      <c r="L163" s="13" t="s">
        <v>27</v>
      </c>
      <c r="M163" s="13" t="s">
        <v>538</v>
      </c>
      <c r="N163" s="12">
        <v>10.61</v>
      </c>
      <c r="O163" s="12">
        <v>17.100000000000001</v>
      </c>
      <c r="P163" s="12">
        <v>42.2</v>
      </c>
      <c r="Q163" s="26">
        <f t="shared" si="2"/>
        <v>9.9951022727272711</v>
      </c>
      <c r="R163" s="12">
        <v>785.29</v>
      </c>
      <c r="S163" s="12">
        <v>6664.08</v>
      </c>
      <c r="T163" s="12">
        <v>75.12</v>
      </c>
      <c r="U163" s="12">
        <v>64.319999999999993</v>
      </c>
      <c r="V163" s="12"/>
    </row>
    <row r="164" spans="1:22" x14ac:dyDescent="0.25">
      <c r="A164" s="12">
        <v>2024</v>
      </c>
      <c r="B164" s="12" t="s">
        <v>457</v>
      </c>
      <c r="C164" s="12" t="s">
        <v>244</v>
      </c>
      <c r="D164" s="12" t="s">
        <v>245</v>
      </c>
      <c r="E164" s="12" t="s">
        <v>246</v>
      </c>
      <c r="F164" s="12" t="s">
        <v>500</v>
      </c>
      <c r="G164" s="12">
        <v>503</v>
      </c>
      <c r="H164" s="12">
        <v>3</v>
      </c>
      <c r="I164" s="12">
        <v>5</v>
      </c>
      <c r="J164" s="12">
        <v>3</v>
      </c>
      <c r="K164" s="12">
        <v>16</v>
      </c>
      <c r="L164" s="13" t="s">
        <v>42</v>
      </c>
      <c r="M164" s="13" t="s">
        <v>538</v>
      </c>
      <c r="N164" s="12">
        <v>9.6300000000000008</v>
      </c>
      <c r="O164" s="12">
        <v>16.5</v>
      </c>
      <c r="P164" s="12">
        <v>42.5</v>
      </c>
      <c r="Q164" s="26">
        <f t="shared" si="2"/>
        <v>9.1375568181818192</v>
      </c>
      <c r="R164" s="12">
        <v>717.91</v>
      </c>
      <c r="S164" s="12">
        <v>6092.33</v>
      </c>
      <c r="T164" s="12">
        <v>73.739999999999995</v>
      </c>
      <c r="U164" s="12">
        <v>64.900000000000006</v>
      </c>
      <c r="V164" s="12"/>
    </row>
    <row r="165" spans="1:22" x14ac:dyDescent="0.25">
      <c r="A165" s="12">
        <v>2024</v>
      </c>
      <c r="B165" s="12" t="s">
        <v>457</v>
      </c>
      <c r="C165" s="12" t="s">
        <v>244</v>
      </c>
      <c r="D165" s="12" t="s">
        <v>245</v>
      </c>
      <c r="E165" s="12" t="s">
        <v>246</v>
      </c>
      <c r="F165" s="12" t="s">
        <v>501</v>
      </c>
      <c r="G165" s="12">
        <v>504</v>
      </c>
      <c r="H165" s="12">
        <v>4</v>
      </c>
      <c r="I165" s="12">
        <v>5</v>
      </c>
      <c r="J165" s="12">
        <v>3</v>
      </c>
      <c r="K165" s="12">
        <v>9</v>
      </c>
      <c r="L165" s="13" t="s">
        <v>69</v>
      </c>
      <c r="M165" s="13" t="s">
        <v>53</v>
      </c>
      <c r="N165" s="12">
        <v>13.48</v>
      </c>
      <c r="O165" s="12">
        <v>14.6</v>
      </c>
      <c r="P165" s="12">
        <v>43.6</v>
      </c>
      <c r="Q165" s="26">
        <f t="shared" si="2"/>
        <v>13.081727272727273</v>
      </c>
      <c r="R165" s="12">
        <v>1027.79</v>
      </c>
      <c r="S165" s="12">
        <v>8722.0499999999993</v>
      </c>
      <c r="T165" s="12">
        <v>72.5</v>
      </c>
      <c r="U165" s="12">
        <v>54.59</v>
      </c>
      <c r="V165" s="12"/>
    </row>
    <row r="166" spans="1:22" x14ac:dyDescent="0.25">
      <c r="A166" s="12">
        <v>2024</v>
      </c>
      <c r="B166" s="12" t="s">
        <v>457</v>
      </c>
      <c r="C166" s="12" t="s">
        <v>244</v>
      </c>
      <c r="D166" s="12" t="s">
        <v>245</v>
      </c>
      <c r="E166" s="12" t="s">
        <v>246</v>
      </c>
      <c r="F166" s="12" t="s">
        <v>502</v>
      </c>
      <c r="G166" s="12">
        <v>505</v>
      </c>
      <c r="H166" s="12">
        <v>5</v>
      </c>
      <c r="I166" s="12">
        <v>5</v>
      </c>
      <c r="J166" s="12">
        <v>3</v>
      </c>
      <c r="K166" s="12">
        <v>6</v>
      </c>
      <c r="L166" s="13" t="s">
        <v>339</v>
      </c>
      <c r="M166" s="13" t="s">
        <v>53</v>
      </c>
      <c r="N166" s="12">
        <v>12.63</v>
      </c>
      <c r="O166" s="12">
        <v>21.9</v>
      </c>
      <c r="P166" s="12">
        <v>40.799999999999997</v>
      </c>
      <c r="Q166" s="26">
        <f t="shared" si="2"/>
        <v>11.209125000000002</v>
      </c>
      <c r="R166" s="12">
        <v>880.67</v>
      </c>
      <c r="S166" s="12">
        <v>7473.52</v>
      </c>
      <c r="T166" s="12">
        <v>71.02</v>
      </c>
      <c r="U166" s="12">
        <v>64.58</v>
      </c>
      <c r="V166" s="12"/>
    </row>
    <row r="167" spans="1:22" x14ac:dyDescent="0.25">
      <c r="A167" s="12">
        <v>2024</v>
      </c>
      <c r="B167" s="12" t="s">
        <v>457</v>
      </c>
      <c r="C167" s="12" t="s">
        <v>244</v>
      </c>
      <c r="D167" s="12" t="s">
        <v>245</v>
      </c>
      <c r="E167" s="12" t="s">
        <v>246</v>
      </c>
      <c r="F167" s="12" t="s">
        <v>503</v>
      </c>
      <c r="G167" s="12">
        <v>506</v>
      </c>
      <c r="H167" s="12">
        <v>6</v>
      </c>
      <c r="I167" s="12">
        <v>5</v>
      </c>
      <c r="J167" s="12">
        <v>3</v>
      </c>
      <c r="K167" s="12">
        <v>13</v>
      </c>
      <c r="L167" s="13" t="s">
        <v>336</v>
      </c>
      <c r="M167" s="13" t="s">
        <v>538</v>
      </c>
      <c r="N167" s="12">
        <v>13.18</v>
      </c>
      <c r="O167" s="12">
        <v>16.2</v>
      </c>
      <c r="P167" s="12">
        <v>42.5</v>
      </c>
      <c r="Q167" s="26">
        <f t="shared" si="2"/>
        <v>12.550954545454545</v>
      </c>
      <c r="R167" s="12">
        <v>986.09</v>
      </c>
      <c r="S167" s="12">
        <v>8368.16</v>
      </c>
      <c r="T167" s="12">
        <v>70</v>
      </c>
      <c r="U167" s="12">
        <v>52.87</v>
      </c>
      <c r="V167" s="12"/>
    </row>
    <row r="168" spans="1:22" x14ac:dyDescent="0.25">
      <c r="A168" s="12">
        <v>2024</v>
      </c>
      <c r="B168" s="12" t="s">
        <v>457</v>
      </c>
      <c r="C168" s="12" t="s">
        <v>244</v>
      </c>
      <c r="D168" s="12" t="s">
        <v>245</v>
      </c>
      <c r="E168" s="12" t="s">
        <v>246</v>
      </c>
      <c r="F168" s="12" t="s">
        <v>504</v>
      </c>
      <c r="G168" s="12">
        <v>507</v>
      </c>
      <c r="H168" s="12">
        <v>7</v>
      </c>
      <c r="I168" s="12">
        <v>5</v>
      </c>
      <c r="J168" s="12">
        <v>3</v>
      </c>
      <c r="K168" s="12">
        <v>5</v>
      </c>
      <c r="L168" s="13" t="s">
        <v>339</v>
      </c>
      <c r="M168" s="13" t="s">
        <v>30</v>
      </c>
      <c r="N168" s="12">
        <v>12</v>
      </c>
      <c r="O168" s="12">
        <v>20.399999999999999</v>
      </c>
      <c r="P168" s="12">
        <v>41.3</v>
      </c>
      <c r="Q168" s="26">
        <f t="shared" si="2"/>
        <v>10.854545454545454</v>
      </c>
      <c r="R168" s="12">
        <v>852.81</v>
      </c>
      <c r="S168" s="12">
        <v>7237.11</v>
      </c>
      <c r="T168" s="12">
        <v>70.930000000000007</v>
      </c>
      <c r="U168" s="12">
        <v>63.4</v>
      </c>
      <c r="V168" s="12"/>
    </row>
    <row r="169" spans="1:22" x14ac:dyDescent="0.25">
      <c r="A169" s="12">
        <v>2024</v>
      </c>
      <c r="B169" s="12" t="s">
        <v>457</v>
      </c>
      <c r="C169" s="12" t="s">
        <v>244</v>
      </c>
      <c r="D169" s="12" t="s">
        <v>245</v>
      </c>
      <c r="E169" s="12" t="s">
        <v>246</v>
      </c>
      <c r="F169" s="12" t="s">
        <v>505</v>
      </c>
      <c r="G169" s="12">
        <v>508</v>
      </c>
      <c r="H169" s="12">
        <v>8</v>
      </c>
      <c r="I169" s="12">
        <v>5</v>
      </c>
      <c r="J169" s="12">
        <v>3</v>
      </c>
      <c r="K169" s="12">
        <v>20</v>
      </c>
      <c r="L169" s="13" t="s">
        <v>82</v>
      </c>
      <c r="M169" s="13" t="s">
        <v>538</v>
      </c>
      <c r="N169" s="12">
        <v>12</v>
      </c>
      <c r="O169" s="12">
        <v>14.9</v>
      </c>
      <c r="P169" s="12">
        <v>43.5</v>
      </c>
      <c r="Q169" s="26">
        <f t="shared" si="2"/>
        <v>11.604545454545454</v>
      </c>
      <c r="R169" s="12">
        <v>911.73</v>
      </c>
      <c r="S169" s="12">
        <v>7737.16</v>
      </c>
      <c r="T169" s="12">
        <v>72.48</v>
      </c>
      <c r="U169" s="12">
        <v>59.66</v>
      </c>
      <c r="V169" s="12"/>
    </row>
    <row r="170" spans="1:22" x14ac:dyDescent="0.25">
      <c r="A170" s="12">
        <v>2024</v>
      </c>
      <c r="B170" s="12" t="s">
        <v>457</v>
      </c>
      <c r="C170" s="12" t="s">
        <v>244</v>
      </c>
      <c r="D170" s="12" t="s">
        <v>245</v>
      </c>
      <c r="E170" s="12" t="s">
        <v>246</v>
      </c>
      <c r="F170" s="12" t="s">
        <v>506</v>
      </c>
      <c r="G170" s="12">
        <v>509</v>
      </c>
      <c r="H170" s="12">
        <v>9</v>
      </c>
      <c r="I170" s="12">
        <v>5</v>
      </c>
      <c r="J170" s="12">
        <v>3</v>
      </c>
      <c r="K170" s="12">
        <v>11</v>
      </c>
      <c r="L170" s="13" t="s">
        <v>27</v>
      </c>
      <c r="M170" s="13" t="s">
        <v>30</v>
      </c>
      <c r="N170" s="12">
        <v>10.199999999999999</v>
      </c>
      <c r="O170" s="12">
        <v>16.600000000000001</v>
      </c>
      <c r="P170" s="12">
        <v>42.6</v>
      </c>
      <c r="Q170" s="26">
        <f t="shared" si="2"/>
        <v>9.6668181818181793</v>
      </c>
      <c r="R170" s="12">
        <v>759.49</v>
      </c>
      <c r="S170" s="12">
        <v>6445.21</v>
      </c>
      <c r="T170" s="12">
        <v>73.8</v>
      </c>
      <c r="U170" s="12">
        <v>62.21</v>
      </c>
      <c r="V170" s="12"/>
    </row>
    <row r="171" spans="1:22" x14ac:dyDescent="0.25">
      <c r="A171" s="12">
        <v>2024</v>
      </c>
      <c r="B171" s="12" t="s">
        <v>457</v>
      </c>
      <c r="C171" s="12" t="s">
        <v>244</v>
      </c>
      <c r="D171" s="12" t="s">
        <v>245</v>
      </c>
      <c r="E171" s="12" t="s">
        <v>246</v>
      </c>
      <c r="F171" s="12" t="s">
        <v>507</v>
      </c>
      <c r="G171" s="12">
        <v>510</v>
      </c>
      <c r="H171" s="12">
        <v>10</v>
      </c>
      <c r="I171" s="12">
        <v>5</v>
      </c>
      <c r="J171" s="12">
        <v>3</v>
      </c>
      <c r="K171" s="12">
        <v>19</v>
      </c>
      <c r="L171" s="13" t="s">
        <v>113</v>
      </c>
      <c r="M171" s="13" t="s">
        <v>538</v>
      </c>
      <c r="N171" s="12">
        <v>12.89</v>
      </c>
      <c r="O171" s="12">
        <v>15.7</v>
      </c>
      <c r="P171" s="12">
        <v>43.1</v>
      </c>
      <c r="Q171" s="26">
        <f t="shared" si="2"/>
        <v>12.34803409090909</v>
      </c>
      <c r="R171" s="12">
        <v>970.15</v>
      </c>
      <c r="S171" s="12">
        <v>8232.8700000000008</v>
      </c>
      <c r="T171" s="12">
        <v>71.11</v>
      </c>
      <c r="U171" s="12">
        <v>59.44</v>
      </c>
      <c r="V171" s="12"/>
    </row>
    <row r="172" spans="1:22" x14ac:dyDescent="0.25">
      <c r="A172" s="12">
        <v>2024</v>
      </c>
      <c r="B172" s="12" t="s">
        <v>457</v>
      </c>
      <c r="C172" s="12" t="s">
        <v>244</v>
      </c>
      <c r="D172" s="12" t="s">
        <v>245</v>
      </c>
      <c r="E172" s="12" t="s">
        <v>246</v>
      </c>
      <c r="F172" s="12" t="s">
        <v>508</v>
      </c>
      <c r="G172" s="12">
        <v>601</v>
      </c>
      <c r="H172" s="12">
        <v>1</v>
      </c>
      <c r="I172" s="12">
        <v>6</v>
      </c>
      <c r="J172" s="12">
        <v>3</v>
      </c>
      <c r="K172" s="12">
        <v>17</v>
      </c>
      <c r="L172" s="13" t="s">
        <v>42</v>
      </c>
      <c r="M172" s="13" t="s">
        <v>30</v>
      </c>
      <c r="N172" s="12">
        <v>8.94</v>
      </c>
      <c r="O172" s="12">
        <v>17.5</v>
      </c>
      <c r="P172" s="12">
        <v>42</v>
      </c>
      <c r="Q172" s="26">
        <f t="shared" si="2"/>
        <v>8.3812499999999979</v>
      </c>
      <c r="R172" s="12">
        <v>658.49</v>
      </c>
      <c r="S172" s="12">
        <v>5588.07</v>
      </c>
      <c r="T172" s="12">
        <v>73.55</v>
      </c>
      <c r="U172" s="12">
        <v>65.14</v>
      </c>
      <c r="V172" s="12"/>
    </row>
    <row r="173" spans="1:22" x14ac:dyDescent="0.25">
      <c r="A173" s="12">
        <v>2024</v>
      </c>
      <c r="B173" s="12" t="s">
        <v>457</v>
      </c>
      <c r="C173" s="12" t="s">
        <v>244</v>
      </c>
      <c r="D173" s="12" t="s">
        <v>245</v>
      </c>
      <c r="E173" s="12" t="s">
        <v>246</v>
      </c>
      <c r="F173" s="12" t="s">
        <v>509</v>
      </c>
      <c r="G173" s="12">
        <v>602</v>
      </c>
      <c r="H173" s="12">
        <v>2</v>
      </c>
      <c r="I173" s="12">
        <v>6</v>
      </c>
      <c r="J173" s="12">
        <v>3</v>
      </c>
      <c r="K173" s="12">
        <v>4</v>
      </c>
      <c r="L173" s="13" t="s">
        <v>339</v>
      </c>
      <c r="M173" s="13" t="s">
        <v>538</v>
      </c>
      <c r="N173" s="12">
        <v>15.95</v>
      </c>
      <c r="O173" s="12">
        <v>23.1</v>
      </c>
      <c r="P173" s="12">
        <v>39.9</v>
      </c>
      <c r="Q173" s="26">
        <f t="shared" si="2"/>
        <v>13.938124999999999</v>
      </c>
      <c r="R173" s="12">
        <v>1095.08</v>
      </c>
      <c r="S173" s="12">
        <v>9293.0400000000009</v>
      </c>
      <c r="T173" s="12">
        <v>71.42</v>
      </c>
      <c r="U173" s="12">
        <v>64.56</v>
      </c>
      <c r="V173" s="12"/>
    </row>
    <row r="174" spans="1:22" x14ac:dyDescent="0.25">
      <c r="A174" s="12">
        <v>2024</v>
      </c>
      <c r="B174" s="12" t="s">
        <v>457</v>
      </c>
      <c r="C174" s="12" t="s">
        <v>244</v>
      </c>
      <c r="D174" s="12" t="s">
        <v>245</v>
      </c>
      <c r="E174" s="12" t="s">
        <v>246</v>
      </c>
      <c r="F174" s="12" t="s">
        <v>510</v>
      </c>
      <c r="G174" s="12">
        <v>603</v>
      </c>
      <c r="H174" s="12">
        <v>3</v>
      </c>
      <c r="I174" s="12">
        <v>6</v>
      </c>
      <c r="J174" s="12">
        <v>3</v>
      </c>
      <c r="K174" s="12">
        <v>18</v>
      </c>
      <c r="L174" s="13" t="s">
        <v>42</v>
      </c>
      <c r="M174" s="13" t="s">
        <v>53</v>
      </c>
      <c r="N174" s="12">
        <v>9.02</v>
      </c>
      <c r="O174" s="12">
        <v>16.2</v>
      </c>
      <c r="P174" s="12">
        <v>42.8</v>
      </c>
      <c r="Q174" s="26">
        <f t="shared" si="2"/>
        <v>8.5894999999999992</v>
      </c>
      <c r="R174" s="12">
        <v>674.85</v>
      </c>
      <c r="S174" s="12">
        <v>5726.92</v>
      </c>
      <c r="T174" s="12">
        <v>73.69</v>
      </c>
      <c r="U174" s="12">
        <v>65.17</v>
      </c>
      <c r="V174" s="12"/>
    </row>
    <row r="175" spans="1:22" x14ac:dyDescent="0.25">
      <c r="A175" s="12">
        <v>2024</v>
      </c>
      <c r="B175" s="12" t="s">
        <v>457</v>
      </c>
      <c r="C175" s="12" t="s">
        <v>244</v>
      </c>
      <c r="D175" s="12" t="s">
        <v>245</v>
      </c>
      <c r="E175" s="12" t="s">
        <v>246</v>
      </c>
      <c r="F175" s="12" t="s">
        <v>511</v>
      </c>
      <c r="G175" s="12">
        <v>604</v>
      </c>
      <c r="H175" s="12">
        <v>4</v>
      </c>
      <c r="I175" s="12">
        <v>6</v>
      </c>
      <c r="J175" s="12">
        <v>3</v>
      </c>
      <c r="K175" s="12">
        <v>1</v>
      </c>
      <c r="L175" s="13" t="s">
        <v>100</v>
      </c>
      <c r="M175" s="13" t="s">
        <v>538</v>
      </c>
      <c r="N175" s="12">
        <v>11.86</v>
      </c>
      <c r="O175" s="12">
        <v>16.2</v>
      </c>
      <c r="P175" s="12">
        <v>42.5</v>
      </c>
      <c r="Q175" s="26">
        <f t="shared" si="2"/>
        <v>11.293954545454545</v>
      </c>
      <c r="R175" s="12">
        <v>887.33</v>
      </c>
      <c r="S175" s="12">
        <v>7530.07</v>
      </c>
      <c r="T175" s="12">
        <v>72.97</v>
      </c>
      <c r="U175" s="12">
        <v>56.44</v>
      </c>
      <c r="V175" s="12"/>
    </row>
    <row r="176" spans="1:22" x14ac:dyDescent="0.25">
      <c r="A176" s="12">
        <v>2024</v>
      </c>
      <c r="B176" s="12" t="s">
        <v>457</v>
      </c>
      <c r="C176" s="12" t="s">
        <v>244</v>
      </c>
      <c r="D176" s="12" t="s">
        <v>245</v>
      </c>
      <c r="E176" s="12" t="s">
        <v>246</v>
      </c>
      <c r="F176" s="12" t="s">
        <v>512</v>
      </c>
      <c r="G176" s="12">
        <v>605</v>
      </c>
      <c r="H176" s="12">
        <v>5</v>
      </c>
      <c r="I176" s="12">
        <v>6</v>
      </c>
      <c r="J176" s="12">
        <v>3</v>
      </c>
      <c r="K176" s="12">
        <v>3</v>
      </c>
      <c r="L176" s="13" t="s">
        <v>100</v>
      </c>
      <c r="M176" s="13" t="s">
        <v>53</v>
      </c>
      <c r="N176" s="12">
        <v>11.25</v>
      </c>
      <c r="O176" s="12">
        <v>16.899999999999999</v>
      </c>
      <c r="P176" s="12">
        <v>42.3</v>
      </c>
      <c r="Q176" s="26">
        <f t="shared" si="2"/>
        <v>10.623579545454545</v>
      </c>
      <c r="R176" s="12">
        <v>834.66</v>
      </c>
      <c r="S176" s="12">
        <v>7083.11</v>
      </c>
      <c r="T176" s="12">
        <v>71.75</v>
      </c>
      <c r="U176" s="12">
        <v>51.24</v>
      </c>
      <c r="V176" s="12"/>
    </row>
    <row r="177" spans="1:22" x14ac:dyDescent="0.25">
      <c r="A177" s="12">
        <v>2024</v>
      </c>
      <c r="B177" s="12" t="s">
        <v>457</v>
      </c>
      <c r="C177" s="12" t="s">
        <v>244</v>
      </c>
      <c r="D177" s="12" t="s">
        <v>245</v>
      </c>
      <c r="E177" s="12" t="s">
        <v>246</v>
      </c>
      <c r="F177" s="12" t="s">
        <v>513</v>
      </c>
      <c r="G177" s="12">
        <v>606</v>
      </c>
      <c r="H177" s="12">
        <v>6</v>
      </c>
      <c r="I177" s="12">
        <v>6</v>
      </c>
      <c r="J177" s="12">
        <v>3</v>
      </c>
      <c r="K177" s="12">
        <v>7</v>
      </c>
      <c r="L177" s="13" t="s">
        <v>69</v>
      </c>
      <c r="M177" s="13" t="s">
        <v>538</v>
      </c>
      <c r="N177" s="12">
        <v>11.2</v>
      </c>
      <c r="O177" s="12">
        <v>13.1</v>
      </c>
      <c r="P177" s="12">
        <v>44.3</v>
      </c>
      <c r="Q177" s="26">
        <f t="shared" si="2"/>
        <v>11.059999999999999</v>
      </c>
      <c r="R177" s="12">
        <v>868.95</v>
      </c>
      <c r="S177" s="12">
        <v>7374.09</v>
      </c>
      <c r="T177" s="12">
        <v>70.67</v>
      </c>
      <c r="U177" s="12">
        <v>47.3</v>
      </c>
      <c r="V177" s="12"/>
    </row>
    <row r="178" spans="1:22" x14ac:dyDescent="0.25">
      <c r="A178" s="12">
        <v>2024</v>
      </c>
      <c r="B178" s="12" t="s">
        <v>457</v>
      </c>
      <c r="C178" s="12" t="s">
        <v>244</v>
      </c>
      <c r="D178" s="12" t="s">
        <v>245</v>
      </c>
      <c r="E178" s="12" t="s">
        <v>246</v>
      </c>
      <c r="F178" s="12" t="s">
        <v>514</v>
      </c>
      <c r="G178" s="12">
        <v>607</v>
      </c>
      <c r="H178" s="12">
        <v>7</v>
      </c>
      <c r="I178" s="12">
        <v>6</v>
      </c>
      <c r="J178" s="12">
        <v>3</v>
      </c>
      <c r="K178" s="12">
        <v>2</v>
      </c>
      <c r="L178" s="13" t="s">
        <v>100</v>
      </c>
      <c r="M178" s="13" t="s">
        <v>30</v>
      </c>
      <c r="N178" s="12">
        <v>11.18</v>
      </c>
      <c r="O178" s="12">
        <v>15.8</v>
      </c>
      <c r="P178" s="12">
        <v>42.7</v>
      </c>
      <c r="Q178" s="26">
        <f t="shared" si="2"/>
        <v>10.697227272727272</v>
      </c>
      <c r="R178" s="12">
        <v>840.45</v>
      </c>
      <c r="S178" s="12">
        <v>7132.22</v>
      </c>
      <c r="T178" s="12">
        <v>71.67</v>
      </c>
      <c r="U178" s="12">
        <v>51.94</v>
      </c>
      <c r="V178" s="12"/>
    </row>
    <row r="179" spans="1:22" x14ac:dyDescent="0.25">
      <c r="A179" s="12">
        <v>2024</v>
      </c>
      <c r="B179" s="12" t="s">
        <v>457</v>
      </c>
      <c r="C179" s="12" t="s">
        <v>244</v>
      </c>
      <c r="D179" s="12" t="s">
        <v>245</v>
      </c>
      <c r="E179" s="12" t="s">
        <v>246</v>
      </c>
      <c r="F179" s="12" t="s">
        <v>515</v>
      </c>
      <c r="G179" s="12">
        <v>608</v>
      </c>
      <c r="H179" s="12">
        <v>8</v>
      </c>
      <c r="I179" s="12">
        <v>6</v>
      </c>
      <c r="J179" s="12">
        <v>3</v>
      </c>
      <c r="K179" s="12">
        <v>8</v>
      </c>
      <c r="L179" s="13" t="s">
        <v>69</v>
      </c>
      <c r="M179" s="13" t="s">
        <v>30</v>
      </c>
      <c r="N179" s="12">
        <v>13.28</v>
      </c>
      <c r="O179" s="12">
        <v>14.8</v>
      </c>
      <c r="P179" s="12">
        <v>43.3</v>
      </c>
      <c r="Q179" s="26">
        <f t="shared" si="2"/>
        <v>12.857454545454544</v>
      </c>
      <c r="R179" s="12">
        <v>1010.17</v>
      </c>
      <c r="S179" s="12">
        <v>8572.51</v>
      </c>
      <c r="T179" s="12">
        <v>71.89</v>
      </c>
      <c r="U179" s="12">
        <v>53.03</v>
      </c>
      <c r="V179" s="12"/>
    </row>
    <row r="180" spans="1:22" x14ac:dyDescent="0.25">
      <c r="A180" s="12">
        <v>2024</v>
      </c>
      <c r="B180" s="12" t="s">
        <v>457</v>
      </c>
      <c r="C180" s="12" t="s">
        <v>244</v>
      </c>
      <c r="D180" s="12" t="s">
        <v>245</v>
      </c>
      <c r="E180" s="12" t="s">
        <v>246</v>
      </c>
      <c r="F180" s="12" t="s">
        <v>516</v>
      </c>
      <c r="G180" s="12">
        <v>609</v>
      </c>
      <c r="H180" s="12">
        <v>9</v>
      </c>
      <c r="I180" s="12">
        <v>6</v>
      </c>
      <c r="J180" s="12">
        <v>3</v>
      </c>
      <c r="K180" s="12">
        <v>15</v>
      </c>
      <c r="L180" s="13" t="s">
        <v>336</v>
      </c>
      <c r="M180" s="13" t="s">
        <v>53</v>
      </c>
      <c r="N180" s="12">
        <v>12.55</v>
      </c>
      <c r="O180" s="12">
        <v>16.5</v>
      </c>
      <c r="P180" s="12">
        <v>42.3</v>
      </c>
      <c r="Q180" s="26">
        <f t="shared" si="2"/>
        <v>11.908238636363636</v>
      </c>
      <c r="R180" s="12">
        <v>935.6</v>
      </c>
      <c r="S180" s="12">
        <v>7939.64</v>
      </c>
      <c r="T180" s="12">
        <v>70.760000000000005</v>
      </c>
      <c r="U180" s="12">
        <v>55.47</v>
      </c>
      <c r="V180" s="12"/>
    </row>
    <row r="181" spans="1:22" x14ac:dyDescent="0.25">
      <c r="A181" s="12">
        <v>2024</v>
      </c>
      <c r="B181" s="12" t="s">
        <v>457</v>
      </c>
      <c r="C181" s="12" t="s">
        <v>244</v>
      </c>
      <c r="D181" s="12" t="s">
        <v>245</v>
      </c>
      <c r="E181" s="12" t="s">
        <v>246</v>
      </c>
      <c r="F181" s="12" t="s">
        <v>517</v>
      </c>
      <c r="G181" s="12">
        <v>610</v>
      </c>
      <c r="H181" s="12">
        <v>10</v>
      </c>
      <c r="I181" s="12">
        <v>6</v>
      </c>
      <c r="J181" s="12">
        <v>3</v>
      </c>
      <c r="K181" s="12">
        <v>14</v>
      </c>
      <c r="L181" s="13" t="s">
        <v>336</v>
      </c>
      <c r="M181" s="13" t="s">
        <v>30</v>
      </c>
      <c r="N181" s="12">
        <v>13.52</v>
      </c>
      <c r="O181" s="12">
        <v>16.399999999999999</v>
      </c>
      <c r="P181" s="12">
        <v>42.4</v>
      </c>
      <c r="Q181" s="26">
        <f t="shared" si="2"/>
        <v>12.844000000000001</v>
      </c>
      <c r="R181" s="12">
        <v>1009.12</v>
      </c>
      <c r="S181" s="12">
        <v>8563.5400000000009</v>
      </c>
      <c r="T181" s="12">
        <v>70.959999999999994</v>
      </c>
      <c r="U181" s="12">
        <v>56.32</v>
      </c>
      <c r="V181" s="12"/>
    </row>
    <row r="182" spans="1:22" x14ac:dyDescent="0.25">
      <c r="A182" s="12">
        <v>2024</v>
      </c>
      <c r="B182" s="12" t="s">
        <v>457</v>
      </c>
      <c r="C182" s="12" t="s">
        <v>244</v>
      </c>
      <c r="D182" s="12" t="s">
        <v>245</v>
      </c>
      <c r="E182" s="12" t="s">
        <v>246</v>
      </c>
      <c r="F182" s="12" t="s">
        <v>518</v>
      </c>
      <c r="G182" s="12">
        <v>701</v>
      </c>
      <c r="H182" s="12">
        <v>1</v>
      </c>
      <c r="I182" s="12">
        <v>7</v>
      </c>
      <c r="J182" s="12">
        <v>4</v>
      </c>
      <c r="K182" s="12">
        <v>7</v>
      </c>
      <c r="L182" s="13" t="s">
        <v>69</v>
      </c>
      <c r="M182" s="13" t="s">
        <v>538</v>
      </c>
      <c r="N182" s="12">
        <v>9.81</v>
      </c>
      <c r="O182" s="12">
        <v>14.4</v>
      </c>
      <c r="P182" s="12">
        <v>43.5</v>
      </c>
      <c r="Q182" s="26">
        <f t="shared" si="2"/>
        <v>9.5424545454545466</v>
      </c>
      <c r="R182" s="12">
        <v>749.72</v>
      </c>
      <c r="S182" s="12">
        <v>6362.29</v>
      </c>
      <c r="T182" s="12">
        <v>72.22</v>
      </c>
      <c r="U182" s="12">
        <v>50.87</v>
      </c>
      <c r="V182" s="12"/>
    </row>
    <row r="183" spans="1:22" x14ac:dyDescent="0.25">
      <c r="A183" s="12">
        <v>2024</v>
      </c>
      <c r="B183" s="12" t="s">
        <v>457</v>
      </c>
      <c r="C183" s="12" t="s">
        <v>244</v>
      </c>
      <c r="D183" s="12" t="s">
        <v>245</v>
      </c>
      <c r="E183" s="12" t="s">
        <v>246</v>
      </c>
      <c r="F183" s="12" t="s">
        <v>519</v>
      </c>
      <c r="G183" s="12">
        <v>702</v>
      </c>
      <c r="H183" s="12">
        <v>2</v>
      </c>
      <c r="I183" s="12">
        <v>7</v>
      </c>
      <c r="J183" s="12">
        <v>4</v>
      </c>
      <c r="K183" s="12">
        <v>1</v>
      </c>
      <c r="L183" s="13" t="s">
        <v>100</v>
      </c>
      <c r="M183" s="13" t="s">
        <v>538</v>
      </c>
      <c r="N183" s="12">
        <v>12.34</v>
      </c>
      <c r="O183" s="12">
        <v>15.9</v>
      </c>
      <c r="P183" s="12">
        <v>42.5</v>
      </c>
      <c r="Q183" s="26">
        <f t="shared" si="2"/>
        <v>11.793113636363636</v>
      </c>
      <c r="R183" s="12">
        <v>926.55</v>
      </c>
      <c r="S183" s="12">
        <v>7862.88</v>
      </c>
      <c r="T183" s="12">
        <v>72.599999999999994</v>
      </c>
      <c r="U183" s="12">
        <v>54.54</v>
      </c>
      <c r="V183" s="12"/>
    </row>
    <row r="184" spans="1:22" x14ac:dyDescent="0.25">
      <c r="A184" s="12">
        <v>2024</v>
      </c>
      <c r="B184" s="12" t="s">
        <v>457</v>
      </c>
      <c r="C184" s="12" t="s">
        <v>244</v>
      </c>
      <c r="D184" s="12" t="s">
        <v>245</v>
      </c>
      <c r="E184" s="12" t="s">
        <v>246</v>
      </c>
      <c r="F184" s="12" t="s">
        <v>520</v>
      </c>
      <c r="G184" s="12">
        <v>703</v>
      </c>
      <c r="H184" s="12">
        <v>3</v>
      </c>
      <c r="I184" s="12">
        <v>7</v>
      </c>
      <c r="J184" s="12">
        <v>4</v>
      </c>
      <c r="K184" s="12">
        <v>10</v>
      </c>
      <c r="L184" s="13" t="s">
        <v>27</v>
      </c>
      <c r="M184" s="13" t="s">
        <v>538</v>
      </c>
      <c r="N184" s="12">
        <v>10.11</v>
      </c>
      <c r="O184" s="12">
        <v>15.7</v>
      </c>
      <c r="P184" s="12">
        <v>43</v>
      </c>
      <c r="Q184" s="26">
        <f t="shared" si="2"/>
        <v>9.6849204545454537</v>
      </c>
      <c r="R184" s="12">
        <v>760.92</v>
      </c>
      <c r="S184" s="12">
        <v>6457.28</v>
      </c>
      <c r="T184" s="12">
        <v>75.680000000000007</v>
      </c>
      <c r="U184" s="12">
        <v>66.099999999999994</v>
      </c>
      <c r="V184" s="12"/>
    </row>
    <row r="185" spans="1:22" x14ac:dyDescent="0.25">
      <c r="A185" s="12">
        <v>2024</v>
      </c>
      <c r="B185" s="12" t="s">
        <v>457</v>
      </c>
      <c r="C185" s="12" t="s">
        <v>244</v>
      </c>
      <c r="D185" s="12" t="s">
        <v>245</v>
      </c>
      <c r="E185" s="12" t="s">
        <v>246</v>
      </c>
      <c r="F185" s="12" t="s">
        <v>521</v>
      </c>
      <c r="G185" s="12">
        <v>704</v>
      </c>
      <c r="H185" s="12">
        <v>4</v>
      </c>
      <c r="I185" s="12">
        <v>7</v>
      </c>
      <c r="J185" s="12">
        <v>4</v>
      </c>
      <c r="K185" s="12">
        <v>11</v>
      </c>
      <c r="L185" s="13" t="s">
        <v>27</v>
      </c>
      <c r="M185" s="13" t="s">
        <v>30</v>
      </c>
      <c r="N185" s="12">
        <v>10.98</v>
      </c>
      <c r="O185" s="12">
        <v>17.3</v>
      </c>
      <c r="P185" s="12">
        <v>42.1</v>
      </c>
      <c r="Q185" s="26">
        <f t="shared" si="2"/>
        <v>10.318704545454546</v>
      </c>
      <c r="R185" s="12">
        <v>810.71</v>
      </c>
      <c r="S185" s="12">
        <v>6879.84</v>
      </c>
      <c r="T185" s="12">
        <v>74.92</v>
      </c>
      <c r="U185" s="12">
        <v>63.91</v>
      </c>
      <c r="V185" s="12"/>
    </row>
    <row r="186" spans="1:22" x14ac:dyDescent="0.25">
      <c r="A186" s="12">
        <v>2024</v>
      </c>
      <c r="B186" s="12" t="s">
        <v>457</v>
      </c>
      <c r="C186" s="12" t="s">
        <v>244</v>
      </c>
      <c r="D186" s="12" t="s">
        <v>245</v>
      </c>
      <c r="E186" s="12" t="s">
        <v>246</v>
      </c>
      <c r="F186" s="12" t="s">
        <v>522</v>
      </c>
      <c r="G186" s="12">
        <v>705</v>
      </c>
      <c r="H186" s="12">
        <v>5</v>
      </c>
      <c r="I186" s="12">
        <v>7</v>
      </c>
      <c r="J186" s="12">
        <v>4</v>
      </c>
      <c r="K186" s="12">
        <v>3</v>
      </c>
      <c r="L186" s="13" t="s">
        <v>100</v>
      </c>
      <c r="M186" s="13" t="s">
        <v>53</v>
      </c>
      <c r="N186" s="12">
        <v>10.86</v>
      </c>
      <c r="O186" s="12">
        <v>19.7</v>
      </c>
      <c r="P186" s="12">
        <v>40.299999999999997</v>
      </c>
      <c r="Q186" s="26">
        <f t="shared" si="2"/>
        <v>9.9097500000000007</v>
      </c>
      <c r="R186" s="12">
        <v>778.58</v>
      </c>
      <c r="S186" s="12">
        <v>6607.18</v>
      </c>
      <c r="T186" s="12">
        <v>72.08</v>
      </c>
      <c r="U186" s="12">
        <v>52.85</v>
      </c>
      <c r="V186" s="12"/>
    </row>
    <row r="187" spans="1:22" x14ac:dyDescent="0.25">
      <c r="A187" s="12">
        <v>2024</v>
      </c>
      <c r="B187" s="12" t="s">
        <v>457</v>
      </c>
      <c r="C187" s="12" t="s">
        <v>244</v>
      </c>
      <c r="D187" s="12" t="s">
        <v>245</v>
      </c>
      <c r="E187" s="12" t="s">
        <v>246</v>
      </c>
      <c r="F187" s="12" t="s">
        <v>523</v>
      </c>
      <c r="G187" s="12">
        <v>706</v>
      </c>
      <c r="H187" s="12">
        <v>6</v>
      </c>
      <c r="I187" s="12">
        <v>7</v>
      </c>
      <c r="J187" s="12">
        <v>4</v>
      </c>
      <c r="K187" s="12">
        <v>9</v>
      </c>
      <c r="L187" s="13" t="s">
        <v>69</v>
      </c>
      <c r="M187" s="13" t="s">
        <v>53</v>
      </c>
      <c r="N187" s="12">
        <v>9.4600000000000009</v>
      </c>
      <c r="O187" s="12">
        <v>14.4</v>
      </c>
      <c r="P187" s="12">
        <v>43.5</v>
      </c>
      <c r="Q187" s="26">
        <f t="shared" si="2"/>
        <v>9.2020000000000017</v>
      </c>
      <c r="R187" s="12">
        <v>722.97</v>
      </c>
      <c r="S187" s="12">
        <v>6135.3</v>
      </c>
      <c r="T187" s="12">
        <v>70.930000000000007</v>
      </c>
      <c r="U187" s="12">
        <v>47.99</v>
      </c>
      <c r="V187" s="12"/>
    </row>
    <row r="188" spans="1:22" x14ac:dyDescent="0.25">
      <c r="A188" s="12">
        <v>2024</v>
      </c>
      <c r="B188" s="12" t="s">
        <v>457</v>
      </c>
      <c r="C188" s="12" t="s">
        <v>244</v>
      </c>
      <c r="D188" s="12" t="s">
        <v>245</v>
      </c>
      <c r="E188" s="12" t="s">
        <v>246</v>
      </c>
      <c r="F188" s="12" t="s">
        <v>524</v>
      </c>
      <c r="G188" s="12">
        <v>707</v>
      </c>
      <c r="H188" s="12">
        <v>7</v>
      </c>
      <c r="I188" s="12">
        <v>7</v>
      </c>
      <c r="J188" s="12">
        <v>4</v>
      </c>
      <c r="K188" s="12">
        <v>5</v>
      </c>
      <c r="L188" s="13" t="s">
        <v>339</v>
      </c>
      <c r="M188" s="13" t="s">
        <v>30</v>
      </c>
      <c r="N188" s="12">
        <v>11.3</v>
      </c>
      <c r="O188" s="12">
        <v>21</v>
      </c>
      <c r="P188" s="12">
        <v>41</v>
      </c>
      <c r="Q188" s="26">
        <f t="shared" si="2"/>
        <v>10.144318181818184</v>
      </c>
      <c r="R188" s="12">
        <v>797.01</v>
      </c>
      <c r="S188" s="12">
        <v>6763.57</v>
      </c>
      <c r="T188" s="12">
        <v>70.3</v>
      </c>
      <c r="U188" s="12">
        <v>62.27</v>
      </c>
      <c r="V188" s="12"/>
    </row>
    <row r="189" spans="1:22" x14ac:dyDescent="0.25">
      <c r="A189" s="12">
        <v>2024</v>
      </c>
      <c r="B189" s="12" t="s">
        <v>457</v>
      </c>
      <c r="C189" s="12" t="s">
        <v>244</v>
      </c>
      <c r="D189" s="12" t="s">
        <v>245</v>
      </c>
      <c r="E189" s="12" t="s">
        <v>246</v>
      </c>
      <c r="F189" s="12" t="s">
        <v>525</v>
      </c>
      <c r="G189" s="12">
        <v>708</v>
      </c>
      <c r="H189" s="12">
        <v>8</v>
      </c>
      <c r="I189" s="12">
        <v>7</v>
      </c>
      <c r="J189" s="12">
        <v>4</v>
      </c>
      <c r="K189" s="12">
        <v>13</v>
      </c>
      <c r="L189" s="13" t="s">
        <v>336</v>
      </c>
      <c r="M189" s="13" t="s">
        <v>538</v>
      </c>
      <c r="N189" s="12">
        <v>11.45</v>
      </c>
      <c r="O189" s="12">
        <v>15.9</v>
      </c>
      <c r="P189" s="12">
        <v>42.6</v>
      </c>
      <c r="Q189" s="26">
        <f t="shared" si="2"/>
        <v>10.942556818181817</v>
      </c>
      <c r="R189" s="12">
        <v>859.72</v>
      </c>
      <c r="S189" s="12">
        <v>7295.79</v>
      </c>
      <c r="T189" s="12">
        <v>70.3</v>
      </c>
      <c r="U189" s="12">
        <v>56.43</v>
      </c>
      <c r="V189" s="12"/>
    </row>
    <row r="190" spans="1:22" x14ac:dyDescent="0.25">
      <c r="A190" s="12">
        <v>2024</v>
      </c>
      <c r="B190" s="12" t="s">
        <v>457</v>
      </c>
      <c r="C190" s="12" t="s">
        <v>244</v>
      </c>
      <c r="D190" s="12" t="s">
        <v>245</v>
      </c>
      <c r="E190" s="12" t="s">
        <v>246</v>
      </c>
      <c r="F190" s="12" t="s">
        <v>526</v>
      </c>
      <c r="G190" s="12">
        <v>709</v>
      </c>
      <c r="H190" s="12">
        <v>9</v>
      </c>
      <c r="I190" s="12">
        <v>7</v>
      </c>
      <c r="J190" s="12">
        <v>4</v>
      </c>
      <c r="K190" s="12">
        <v>14</v>
      </c>
      <c r="L190" s="13" t="s">
        <v>336</v>
      </c>
      <c r="M190" s="13" t="s">
        <v>30</v>
      </c>
      <c r="N190" s="12">
        <v>13.17</v>
      </c>
      <c r="O190" s="12">
        <v>16.899999999999999</v>
      </c>
      <c r="P190" s="12">
        <v>42.1</v>
      </c>
      <c r="Q190" s="26">
        <f t="shared" si="2"/>
        <v>12.436670454545453</v>
      </c>
      <c r="R190" s="12">
        <v>977.11</v>
      </c>
      <c r="S190" s="12">
        <v>8291.9599999999991</v>
      </c>
      <c r="T190" s="12">
        <v>70.48</v>
      </c>
      <c r="U190" s="12">
        <v>55.66</v>
      </c>
      <c r="V190" s="12"/>
    </row>
    <row r="191" spans="1:22" x14ac:dyDescent="0.25">
      <c r="A191" s="12">
        <v>2024</v>
      </c>
      <c r="B191" s="12" t="s">
        <v>457</v>
      </c>
      <c r="C191" s="12" t="s">
        <v>244</v>
      </c>
      <c r="D191" s="12" t="s">
        <v>245</v>
      </c>
      <c r="E191" s="12" t="s">
        <v>246</v>
      </c>
      <c r="F191" s="12" t="s">
        <v>527</v>
      </c>
      <c r="G191" s="12">
        <v>710</v>
      </c>
      <c r="H191" s="12">
        <v>10</v>
      </c>
      <c r="I191" s="12">
        <v>7</v>
      </c>
      <c r="J191" s="12">
        <v>4</v>
      </c>
      <c r="K191" s="12">
        <v>18</v>
      </c>
      <c r="L191" s="13" t="s">
        <v>42</v>
      </c>
      <c r="M191" s="13" t="s">
        <v>53</v>
      </c>
      <c r="N191" s="12">
        <v>9.26</v>
      </c>
      <c r="O191" s="12">
        <v>16.100000000000001</v>
      </c>
      <c r="P191" s="12">
        <v>42.7</v>
      </c>
      <c r="Q191" s="26">
        <f t="shared" si="2"/>
        <v>8.8285681818181807</v>
      </c>
      <c r="R191" s="12">
        <v>693.63</v>
      </c>
      <c r="S191" s="12">
        <v>5886.32</v>
      </c>
      <c r="T191" s="12">
        <v>72.67</v>
      </c>
      <c r="U191" s="12">
        <v>59.56</v>
      </c>
      <c r="V191" s="12"/>
    </row>
    <row r="192" spans="1:22" x14ac:dyDescent="0.25">
      <c r="A192" s="12">
        <v>2024</v>
      </c>
      <c r="B192" s="12" t="s">
        <v>457</v>
      </c>
      <c r="C192" s="12" t="s">
        <v>244</v>
      </c>
      <c r="D192" s="12" t="s">
        <v>245</v>
      </c>
      <c r="E192" s="12" t="s">
        <v>246</v>
      </c>
      <c r="F192" s="12" t="s">
        <v>528</v>
      </c>
      <c r="G192" s="12">
        <v>801</v>
      </c>
      <c r="H192" s="12">
        <v>1</v>
      </c>
      <c r="I192" s="12">
        <v>8</v>
      </c>
      <c r="J192" s="12">
        <v>4</v>
      </c>
      <c r="K192" s="12">
        <v>2</v>
      </c>
      <c r="L192" s="13" t="s">
        <v>100</v>
      </c>
      <c r="M192" s="13" t="s">
        <v>30</v>
      </c>
      <c r="N192" s="12">
        <v>11.88</v>
      </c>
      <c r="O192" s="12">
        <v>15.8</v>
      </c>
      <c r="P192" s="12">
        <v>42.7</v>
      </c>
      <c r="Q192" s="26">
        <f t="shared" si="2"/>
        <v>11.366999999999999</v>
      </c>
      <c r="R192" s="12">
        <v>893.07</v>
      </c>
      <c r="S192" s="12">
        <v>7578.78</v>
      </c>
      <c r="T192" s="12">
        <v>72.17</v>
      </c>
      <c r="U192" s="12">
        <v>54.44</v>
      </c>
      <c r="V192" s="12"/>
    </row>
    <row r="193" spans="1:22" x14ac:dyDescent="0.25">
      <c r="A193" s="12">
        <v>2024</v>
      </c>
      <c r="B193" s="12" t="s">
        <v>457</v>
      </c>
      <c r="C193" s="12" t="s">
        <v>244</v>
      </c>
      <c r="D193" s="12" t="s">
        <v>245</v>
      </c>
      <c r="E193" s="12" t="s">
        <v>246</v>
      </c>
      <c r="F193" s="12" t="s">
        <v>529</v>
      </c>
      <c r="G193" s="12">
        <v>802</v>
      </c>
      <c r="H193" s="12">
        <v>2</v>
      </c>
      <c r="I193" s="12">
        <v>8</v>
      </c>
      <c r="J193" s="12">
        <v>4</v>
      </c>
      <c r="K193" s="12">
        <v>12</v>
      </c>
      <c r="L193" s="13" t="s">
        <v>27</v>
      </c>
      <c r="M193" s="13" t="s">
        <v>53</v>
      </c>
      <c r="N193" s="12">
        <v>10.52</v>
      </c>
      <c r="O193" s="12">
        <v>15.6</v>
      </c>
      <c r="P193" s="12">
        <v>42.8</v>
      </c>
      <c r="Q193" s="26">
        <f t="shared" si="2"/>
        <v>10.089636363636362</v>
      </c>
      <c r="R193" s="12">
        <v>792.71</v>
      </c>
      <c r="S193" s="12">
        <v>6727.11</v>
      </c>
      <c r="T193" s="12">
        <v>74.81</v>
      </c>
      <c r="U193" s="12">
        <v>63.62</v>
      </c>
      <c r="V193" s="12"/>
    </row>
    <row r="194" spans="1:22" x14ac:dyDescent="0.25">
      <c r="A194" s="12">
        <v>2024</v>
      </c>
      <c r="B194" s="12" t="s">
        <v>457</v>
      </c>
      <c r="C194" s="12" t="s">
        <v>244</v>
      </c>
      <c r="D194" s="12" t="s">
        <v>245</v>
      </c>
      <c r="E194" s="12" t="s">
        <v>246</v>
      </c>
      <c r="F194" s="12" t="s">
        <v>530</v>
      </c>
      <c r="G194" s="12">
        <v>803</v>
      </c>
      <c r="H194" s="12">
        <v>3</v>
      </c>
      <c r="I194" s="12">
        <v>8</v>
      </c>
      <c r="J194" s="12">
        <v>4</v>
      </c>
      <c r="K194" s="12">
        <v>4</v>
      </c>
      <c r="L194" s="13" t="s">
        <v>339</v>
      </c>
      <c r="M194" s="13" t="s">
        <v>538</v>
      </c>
      <c r="N194" s="12">
        <v>12.25</v>
      </c>
      <c r="O194" s="12">
        <v>22.6</v>
      </c>
      <c r="P194" s="12">
        <v>40.700000000000003</v>
      </c>
      <c r="Q194" s="26">
        <f t="shared" si="2"/>
        <v>10.774431818181819</v>
      </c>
      <c r="R194" s="12">
        <v>846.52</v>
      </c>
      <c r="S194" s="12">
        <v>7183.69</v>
      </c>
      <c r="T194" s="12">
        <v>70.84</v>
      </c>
      <c r="U194" s="12">
        <v>65.16</v>
      </c>
      <c r="V194" s="12"/>
    </row>
    <row r="195" spans="1:22" x14ac:dyDescent="0.25">
      <c r="A195" s="12">
        <v>2024</v>
      </c>
      <c r="B195" s="12" t="s">
        <v>457</v>
      </c>
      <c r="C195" s="12" t="s">
        <v>244</v>
      </c>
      <c r="D195" s="12" t="s">
        <v>245</v>
      </c>
      <c r="E195" s="12" t="s">
        <v>246</v>
      </c>
      <c r="F195" s="12" t="s">
        <v>531</v>
      </c>
      <c r="G195" s="12">
        <v>804</v>
      </c>
      <c r="H195" s="12">
        <v>4</v>
      </c>
      <c r="I195" s="12">
        <v>8</v>
      </c>
      <c r="J195" s="12">
        <v>4</v>
      </c>
      <c r="K195" s="12">
        <v>15</v>
      </c>
      <c r="L195" s="13" t="s">
        <v>336</v>
      </c>
      <c r="M195" s="13" t="s">
        <v>53</v>
      </c>
      <c r="N195" s="12">
        <v>13.23</v>
      </c>
      <c r="O195" s="12">
        <v>16.899999999999999</v>
      </c>
      <c r="P195" s="12">
        <v>41.9</v>
      </c>
      <c r="Q195" s="26">
        <f t="shared" ref="Q195:Q201" si="3">N195*(1-O195/100)/(1-0.12)</f>
        <v>12.493329545454545</v>
      </c>
      <c r="R195" s="12">
        <v>981.56</v>
      </c>
      <c r="S195" s="12">
        <v>8329.74</v>
      </c>
      <c r="T195" s="12">
        <v>69.8</v>
      </c>
      <c r="U195" s="12">
        <v>52.64</v>
      </c>
      <c r="V195" s="12"/>
    </row>
    <row r="196" spans="1:22" x14ac:dyDescent="0.25">
      <c r="A196" s="12">
        <v>2024</v>
      </c>
      <c r="B196" s="12" t="s">
        <v>457</v>
      </c>
      <c r="C196" s="12" t="s">
        <v>244</v>
      </c>
      <c r="D196" s="12" t="s">
        <v>245</v>
      </c>
      <c r="E196" s="12" t="s">
        <v>246</v>
      </c>
      <c r="F196" s="12" t="s">
        <v>532</v>
      </c>
      <c r="G196" s="12">
        <v>805</v>
      </c>
      <c r="H196" s="12">
        <v>5</v>
      </c>
      <c r="I196" s="12">
        <v>8</v>
      </c>
      <c r="J196" s="12">
        <v>4</v>
      </c>
      <c r="K196" s="12">
        <v>20</v>
      </c>
      <c r="L196" s="13" t="s">
        <v>82</v>
      </c>
      <c r="M196" s="13" t="s">
        <v>538</v>
      </c>
      <c r="N196" s="12">
        <v>11.75</v>
      </c>
      <c r="O196" s="12">
        <v>18.399999999999999</v>
      </c>
      <c r="P196" s="12">
        <v>41.5</v>
      </c>
      <c r="Q196" s="26">
        <f t="shared" si="3"/>
        <v>10.895454545454546</v>
      </c>
      <c r="R196" s="12">
        <v>856.02</v>
      </c>
      <c r="S196" s="12">
        <v>7264.38</v>
      </c>
      <c r="T196" s="12">
        <v>72.22</v>
      </c>
      <c r="U196" s="12">
        <v>59.62</v>
      </c>
      <c r="V196" s="12"/>
    </row>
    <row r="197" spans="1:22" x14ac:dyDescent="0.25">
      <c r="A197" s="12">
        <v>2024</v>
      </c>
      <c r="B197" s="12" t="s">
        <v>457</v>
      </c>
      <c r="C197" s="12" t="s">
        <v>244</v>
      </c>
      <c r="D197" s="12" t="s">
        <v>245</v>
      </c>
      <c r="E197" s="12" t="s">
        <v>246</v>
      </c>
      <c r="F197" s="12" t="s">
        <v>533</v>
      </c>
      <c r="G197" s="12">
        <v>806</v>
      </c>
      <c r="H197" s="12">
        <v>6</v>
      </c>
      <c r="I197" s="12">
        <v>8</v>
      </c>
      <c r="J197" s="12">
        <v>4</v>
      </c>
      <c r="K197" s="12">
        <v>6</v>
      </c>
      <c r="L197" s="13" t="s">
        <v>339</v>
      </c>
      <c r="M197" s="13" t="s">
        <v>53</v>
      </c>
      <c r="N197" s="12">
        <v>11.82</v>
      </c>
      <c r="O197" s="12">
        <v>21</v>
      </c>
      <c r="P197" s="12">
        <v>41</v>
      </c>
      <c r="Q197" s="26">
        <f t="shared" si="3"/>
        <v>10.611136363636366</v>
      </c>
      <c r="R197" s="12">
        <v>833.69</v>
      </c>
      <c r="S197" s="12">
        <v>7074.82</v>
      </c>
      <c r="T197" s="12">
        <v>71.25</v>
      </c>
      <c r="U197" s="12">
        <v>63.52</v>
      </c>
      <c r="V197" s="12"/>
    </row>
    <row r="198" spans="1:22" x14ac:dyDescent="0.25">
      <c r="A198" s="12">
        <v>2024</v>
      </c>
      <c r="B198" s="12" t="s">
        <v>457</v>
      </c>
      <c r="C198" s="12" t="s">
        <v>244</v>
      </c>
      <c r="D198" s="12" t="s">
        <v>245</v>
      </c>
      <c r="E198" s="12" t="s">
        <v>246</v>
      </c>
      <c r="F198" s="12" t="s">
        <v>534</v>
      </c>
      <c r="G198" s="12">
        <v>807</v>
      </c>
      <c r="H198" s="12">
        <v>7</v>
      </c>
      <c r="I198" s="12">
        <v>8</v>
      </c>
      <c r="J198" s="12">
        <v>4</v>
      </c>
      <c r="K198" s="12">
        <v>19</v>
      </c>
      <c r="L198" s="13" t="s">
        <v>113</v>
      </c>
      <c r="M198" s="13" t="s">
        <v>538</v>
      </c>
      <c r="N198" s="12">
        <v>11.83</v>
      </c>
      <c r="O198" s="12">
        <v>18.100000000000001</v>
      </c>
      <c r="P198" s="12">
        <v>42</v>
      </c>
      <c r="Q198" s="26">
        <f t="shared" si="3"/>
        <v>11.009965909090909</v>
      </c>
      <c r="R198" s="12">
        <v>865.02</v>
      </c>
      <c r="S198" s="12">
        <v>7340.73</v>
      </c>
      <c r="T198" s="12">
        <v>70.16</v>
      </c>
      <c r="U198" s="12">
        <v>58.47</v>
      </c>
      <c r="V198" s="12"/>
    </row>
    <row r="199" spans="1:22" x14ac:dyDescent="0.25">
      <c r="A199" s="12">
        <v>2024</v>
      </c>
      <c r="B199" s="12" t="s">
        <v>457</v>
      </c>
      <c r="C199" s="12" t="s">
        <v>244</v>
      </c>
      <c r="D199" s="12" t="s">
        <v>245</v>
      </c>
      <c r="E199" s="12" t="s">
        <v>246</v>
      </c>
      <c r="F199" s="12" t="s">
        <v>535</v>
      </c>
      <c r="G199" s="12">
        <v>808</v>
      </c>
      <c r="H199" s="12">
        <v>8</v>
      </c>
      <c r="I199" s="12">
        <v>8</v>
      </c>
      <c r="J199" s="12">
        <v>4</v>
      </c>
      <c r="K199" s="12">
        <v>16</v>
      </c>
      <c r="L199" s="13" t="s">
        <v>42</v>
      </c>
      <c r="M199" s="13" t="s">
        <v>538</v>
      </c>
      <c r="N199" s="12">
        <v>9.43</v>
      </c>
      <c r="O199" s="12">
        <v>15.6</v>
      </c>
      <c r="P199" s="12">
        <v>43.1</v>
      </c>
      <c r="Q199" s="26">
        <f t="shared" si="3"/>
        <v>9.0442272727272712</v>
      </c>
      <c r="R199" s="12">
        <v>710.58</v>
      </c>
      <c r="S199" s="12">
        <v>6030.1</v>
      </c>
      <c r="T199" s="12">
        <v>72.489999999999995</v>
      </c>
      <c r="U199" s="12">
        <v>60.71</v>
      </c>
      <c r="V199" s="12"/>
    </row>
    <row r="200" spans="1:22" x14ac:dyDescent="0.25">
      <c r="A200" s="12">
        <v>2024</v>
      </c>
      <c r="B200" s="12" t="s">
        <v>457</v>
      </c>
      <c r="C200" s="12" t="s">
        <v>244</v>
      </c>
      <c r="D200" s="12" t="s">
        <v>245</v>
      </c>
      <c r="E200" s="12" t="s">
        <v>246</v>
      </c>
      <c r="F200" s="12" t="s">
        <v>536</v>
      </c>
      <c r="G200" s="12">
        <v>809</v>
      </c>
      <c r="H200" s="12">
        <v>9</v>
      </c>
      <c r="I200" s="12">
        <v>8</v>
      </c>
      <c r="J200" s="12">
        <v>4</v>
      </c>
      <c r="K200" s="12">
        <v>17</v>
      </c>
      <c r="L200" s="13" t="s">
        <v>42</v>
      </c>
      <c r="M200" s="13" t="s">
        <v>30</v>
      </c>
      <c r="N200" s="12">
        <v>8.9600000000000009</v>
      </c>
      <c r="O200" s="12">
        <v>16.600000000000001</v>
      </c>
      <c r="P200" s="12">
        <v>42.4</v>
      </c>
      <c r="Q200" s="26">
        <f t="shared" si="3"/>
        <v>8.4916363636363634</v>
      </c>
      <c r="R200" s="12">
        <v>667.16</v>
      </c>
      <c r="S200" s="12">
        <v>5661.67</v>
      </c>
      <c r="T200" s="12">
        <v>72.94</v>
      </c>
      <c r="U200" s="12">
        <v>63.46</v>
      </c>
      <c r="V200" s="12"/>
    </row>
    <row r="201" spans="1:22" x14ac:dyDescent="0.25">
      <c r="A201" s="12">
        <v>2024</v>
      </c>
      <c r="B201" s="12" t="s">
        <v>457</v>
      </c>
      <c r="C201" s="12" t="s">
        <v>244</v>
      </c>
      <c r="D201" s="12" t="s">
        <v>245</v>
      </c>
      <c r="E201" s="12" t="s">
        <v>246</v>
      </c>
      <c r="F201" s="12" t="s">
        <v>537</v>
      </c>
      <c r="G201" s="12">
        <v>810</v>
      </c>
      <c r="H201" s="12">
        <v>10</v>
      </c>
      <c r="I201" s="12">
        <v>8</v>
      </c>
      <c r="J201" s="12">
        <v>4</v>
      </c>
      <c r="K201" s="12">
        <v>8</v>
      </c>
      <c r="L201" s="13" t="s">
        <v>69</v>
      </c>
      <c r="M201" s="13" t="s">
        <v>30</v>
      </c>
      <c r="N201" s="12">
        <v>11.38</v>
      </c>
      <c r="O201" s="12">
        <v>12.2</v>
      </c>
      <c r="P201" s="12">
        <v>44.7</v>
      </c>
      <c r="Q201" s="26">
        <f t="shared" si="3"/>
        <v>11.354136363636364</v>
      </c>
      <c r="R201" s="12">
        <v>892.06</v>
      </c>
      <c r="S201" s="12">
        <v>7570.2</v>
      </c>
      <c r="T201" s="12">
        <v>71.739999999999995</v>
      </c>
      <c r="U201" s="12">
        <v>49.68</v>
      </c>
      <c r="V20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ED7A-89EF-4D25-B9EF-C92C4F4899FE}">
  <dimension ref="A1:X148"/>
  <sheetViews>
    <sheetView workbookViewId="0">
      <pane ySplit="1" topLeftCell="A76" activePane="bottomLeft" state="frozen"/>
      <selection pane="bottomLeft" activeCell="A2" sqref="A2:V112"/>
    </sheetView>
  </sheetViews>
  <sheetFormatPr defaultColWidth="8.85546875" defaultRowHeight="15" x14ac:dyDescent="0.25"/>
  <cols>
    <col min="1" max="1" width="5" bestFit="1" customWidth="1"/>
    <col min="2" max="2" width="12.42578125" bestFit="1" customWidth="1"/>
    <col min="3" max="3" width="9.42578125" bestFit="1" customWidth="1"/>
    <col min="4" max="5" width="5.28515625" bestFit="1" customWidth="1"/>
    <col min="6" max="6" width="11.85546875" bestFit="1" customWidth="1"/>
    <col min="7" max="7" width="4.5703125" bestFit="1" customWidth="1"/>
    <col min="8" max="8" width="3.5703125" bestFit="1" customWidth="1"/>
    <col min="9" max="9" width="4.42578125" bestFit="1" customWidth="1"/>
    <col min="10" max="10" width="3.7109375" bestFit="1" customWidth="1"/>
    <col min="11" max="11" width="3.140625" bestFit="1" customWidth="1"/>
    <col min="12" max="12" width="7.5703125" bestFit="1" customWidth="1"/>
    <col min="13" max="13" width="10.140625" bestFit="1" customWidth="1"/>
    <col min="14" max="14" width="7.140625" bestFit="1" customWidth="1"/>
    <col min="15" max="15" width="6" bestFit="1" customWidth="1"/>
    <col min="16" max="16" width="5.5703125" bestFit="1" customWidth="1"/>
    <col min="17" max="17" width="10.140625" bestFit="1" customWidth="1"/>
    <col min="18" max="18" width="8.5703125" bestFit="1" customWidth="1"/>
    <col min="19" max="19" width="7.5703125" bestFit="1" customWidth="1"/>
    <col min="20" max="21" width="5.5703125" bestFit="1" customWidth="1"/>
    <col min="22" max="23" width="5.42578125" bestFit="1" customWidth="1"/>
    <col min="24" max="24" width="5.7109375" bestFit="1" customWidth="1"/>
  </cols>
  <sheetData>
    <row r="1" spans="1:24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22" t="s">
        <v>18</v>
      </c>
      <c r="T1" s="8" t="s">
        <v>19</v>
      </c>
      <c r="U1" s="8" t="s">
        <v>20</v>
      </c>
      <c r="V1" s="8" t="s">
        <v>21</v>
      </c>
    </row>
    <row r="2" spans="1:24" x14ac:dyDescent="0.25">
      <c r="A2" s="12">
        <v>2025</v>
      </c>
      <c r="B2" s="3" t="s">
        <v>539</v>
      </c>
      <c r="C2" s="14" t="s">
        <v>118</v>
      </c>
      <c r="D2" s="14" t="s">
        <v>119</v>
      </c>
      <c r="E2" s="14" t="s">
        <v>120</v>
      </c>
      <c r="F2" s="15" t="s">
        <v>540</v>
      </c>
      <c r="G2" s="15">
        <v>101</v>
      </c>
      <c r="H2" s="14">
        <v>1</v>
      </c>
      <c r="I2" s="14">
        <v>1</v>
      </c>
      <c r="J2" s="14">
        <v>1</v>
      </c>
      <c r="K2" s="14">
        <v>12</v>
      </c>
      <c r="L2" s="17" t="s">
        <v>69</v>
      </c>
      <c r="M2" s="17" t="s">
        <v>603</v>
      </c>
      <c r="N2" s="18">
        <v>6.73</v>
      </c>
      <c r="O2" s="18">
        <v>15</v>
      </c>
      <c r="P2" s="18">
        <v>42</v>
      </c>
      <c r="Q2" s="27">
        <f>N2*(1-O2/100)/(1-0.12)</f>
        <v>6.5005681818181822</v>
      </c>
      <c r="R2" s="18">
        <v>4256.78</v>
      </c>
      <c r="S2" s="19">
        <f>R2/1.121</f>
        <v>3797.3059768064227</v>
      </c>
      <c r="T2" s="18">
        <v>66.569999999999993</v>
      </c>
      <c r="U2" s="18">
        <v>43.6</v>
      </c>
      <c r="V2" s="14">
        <v>1</v>
      </c>
      <c r="W2" s="20"/>
      <c r="X2" s="21"/>
    </row>
    <row r="3" spans="1:24" x14ac:dyDescent="0.25">
      <c r="A3" s="12">
        <v>2025</v>
      </c>
      <c r="B3" s="3" t="s">
        <v>539</v>
      </c>
      <c r="C3" s="14" t="s">
        <v>118</v>
      </c>
      <c r="D3" s="14" t="s">
        <v>119</v>
      </c>
      <c r="E3" s="14" t="s">
        <v>120</v>
      </c>
      <c r="F3" s="15" t="s">
        <v>541</v>
      </c>
      <c r="G3" s="15">
        <v>102</v>
      </c>
      <c r="H3" s="14">
        <v>2</v>
      </c>
      <c r="I3" s="14">
        <v>1</v>
      </c>
      <c r="J3" s="14">
        <v>1</v>
      </c>
      <c r="K3" s="14">
        <v>13</v>
      </c>
      <c r="L3" s="17" t="s">
        <v>336</v>
      </c>
      <c r="M3" s="17" t="s">
        <v>538</v>
      </c>
      <c r="N3" s="18">
        <v>10.37</v>
      </c>
      <c r="O3" s="18">
        <v>14.7</v>
      </c>
      <c r="P3" s="18">
        <v>42.3</v>
      </c>
      <c r="Q3" s="27">
        <f t="shared" ref="Q3:Q66" si="0">N3*(1-O3/100)/(1-0.12)</f>
        <v>10.051829545454543</v>
      </c>
      <c r="R3" s="18">
        <v>6582.25</v>
      </c>
      <c r="S3" s="19">
        <f t="shared" ref="S3:S66" si="1">R3/1.121</f>
        <v>5871.7662801070474</v>
      </c>
      <c r="T3" s="18">
        <v>70.510000000000005</v>
      </c>
      <c r="U3" s="18">
        <v>48.03</v>
      </c>
      <c r="V3" s="14">
        <v>1</v>
      </c>
      <c r="W3" s="18"/>
    </row>
    <row r="4" spans="1:24" x14ac:dyDescent="0.25">
      <c r="A4" s="12">
        <v>2025</v>
      </c>
      <c r="B4" s="3" t="s">
        <v>539</v>
      </c>
      <c r="C4" s="14" t="s">
        <v>118</v>
      </c>
      <c r="D4" s="14" t="s">
        <v>119</v>
      </c>
      <c r="E4" s="14" t="s">
        <v>120</v>
      </c>
      <c r="F4" s="15" t="s">
        <v>542</v>
      </c>
      <c r="G4" s="15">
        <v>103</v>
      </c>
      <c r="H4" s="14">
        <v>3</v>
      </c>
      <c r="I4" s="14">
        <v>1</v>
      </c>
      <c r="J4" s="14">
        <v>1</v>
      </c>
      <c r="K4" s="14">
        <v>5</v>
      </c>
      <c r="L4" s="17" t="s">
        <v>339</v>
      </c>
      <c r="M4" s="17" t="s">
        <v>538</v>
      </c>
      <c r="N4" s="18">
        <v>5.71</v>
      </c>
      <c r="O4" s="18">
        <v>19</v>
      </c>
      <c r="P4" s="18">
        <v>40.200000000000003</v>
      </c>
      <c r="Q4" s="27">
        <f t="shared" si="0"/>
        <v>5.2557954545454555</v>
      </c>
      <c r="R4" s="18">
        <v>3441.66</v>
      </c>
      <c r="S4" s="19">
        <f t="shared" si="1"/>
        <v>3070.1694915254234</v>
      </c>
      <c r="T4" s="18">
        <v>69.260000000000005</v>
      </c>
      <c r="U4" s="18">
        <v>61.62</v>
      </c>
      <c r="V4" s="14">
        <v>1</v>
      </c>
      <c r="W4" s="18"/>
    </row>
    <row r="5" spans="1:24" x14ac:dyDescent="0.25">
      <c r="A5" s="12">
        <v>2025</v>
      </c>
      <c r="B5" s="3" t="s">
        <v>539</v>
      </c>
      <c r="C5" s="14" t="s">
        <v>118</v>
      </c>
      <c r="D5" s="14" t="s">
        <v>119</v>
      </c>
      <c r="E5" s="14" t="s">
        <v>120</v>
      </c>
      <c r="F5" s="15" t="s">
        <v>543</v>
      </c>
      <c r="G5" s="15">
        <v>104</v>
      </c>
      <c r="H5" s="14">
        <v>4</v>
      </c>
      <c r="I5" s="14">
        <v>1</v>
      </c>
      <c r="J5" s="14">
        <v>2</v>
      </c>
      <c r="K5" s="14">
        <v>14</v>
      </c>
      <c r="L5" s="17" t="s">
        <v>336</v>
      </c>
      <c r="M5" s="17" t="s">
        <v>30</v>
      </c>
      <c r="N5" s="18">
        <v>11.07</v>
      </c>
      <c r="O5" s="18">
        <v>15.4</v>
      </c>
      <c r="P5" s="18">
        <v>42.1</v>
      </c>
      <c r="Q5" s="27">
        <f t="shared" si="0"/>
        <v>10.642295454545456</v>
      </c>
      <c r="R5" s="18">
        <v>6968.91</v>
      </c>
      <c r="S5" s="19">
        <f t="shared" si="1"/>
        <v>6216.6904549509363</v>
      </c>
      <c r="T5" s="18">
        <v>70.06</v>
      </c>
      <c r="U5" s="18">
        <v>45.09</v>
      </c>
      <c r="V5" s="14">
        <v>0</v>
      </c>
      <c r="W5" s="18"/>
    </row>
    <row r="6" spans="1:24" x14ac:dyDescent="0.25">
      <c r="A6" s="12">
        <v>2025</v>
      </c>
      <c r="B6" s="3" t="s">
        <v>539</v>
      </c>
      <c r="C6" s="14" t="s">
        <v>118</v>
      </c>
      <c r="D6" s="14" t="s">
        <v>119</v>
      </c>
      <c r="E6" s="14" t="s">
        <v>120</v>
      </c>
      <c r="F6" s="15" t="s">
        <v>544</v>
      </c>
      <c r="G6" s="15">
        <v>105</v>
      </c>
      <c r="H6" s="14">
        <v>5</v>
      </c>
      <c r="I6" s="14">
        <v>1</v>
      </c>
      <c r="J6" s="14">
        <v>2</v>
      </c>
      <c r="K6" s="14">
        <v>15</v>
      </c>
      <c r="L6" s="17" t="s">
        <v>336</v>
      </c>
      <c r="M6" s="17" t="s">
        <v>53</v>
      </c>
      <c r="N6" s="18">
        <v>11.3</v>
      </c>
      <c r="O6" s="18">
        <v>14.4</v>
      </c>
      <c r="P6" s="18">
        <v>42.9</v>
      </c>
      <c r="Q6" s="27">
        <f t="shared" si="0"/>
        <v>10.991818181818182</v>
      </c>
      <c r="R6" s="18">
        <v>7197.79</v>
      </c>
      <c r="S6" s="19">
        <f t="shared" si="1"/>
        <v>6420.865298840321</v>
      </c>
      <c r="T6" s="18">
        <v>70.41</v>
      </c>
      <c r="U6" s="18">
        <v>43.65</v>
      </c>
      <c r="V6" s="14">
        <v>1</v>
      </c>
      <c r="W6" s="18"/>
    </row>
    <row r="7" spans="1:24" x14ac:dyDescent="0.25">
      <c r="A7" s="12">
        <v>2025</v>
      </c>
      <c r="B7" s="3" t="s">
        <v>539</v>
      </c>
      <c r="C7" s="14" t="s">
        <v>118</v>
      </c>
      <c r="D7" s="14" t="s">
        <v>119</v>
      </c>
      <c r="E7" s="14" t="s">
        <v>120</v>
      </c>
      <c r="F7" s="15" t="s">
        <v>545</v>
      </c>
      <c r="G7" s="15">
        <v>106</v>
      </c>
      <c r="H7" s="14">
        <v>6</v>
      </c>
      <c r="I7" s="14">
        <v>1</v>
      </c>
      <c r="J7" s="14">
        <v>3</v>
      </c>
      <c r="K7" s="14">
        <v>13</v>
      </c>
      <c r="L7" s="17" t="s">
        <v>336</v>
      </c>
      <c r="M7" s="17" t="s">
        <v>538</v>
      </c>
      <c r="N7" s="18">
        <v>12.22</v>
      </c>
      <c r="O7" s="18">
        <v>15.2</v>
      </c>
      <c r="P7" s="18">
        <v>42.3</v>
      </c>
      <c r="Q7" s="27">
        <f t="shared" si="0"/>
        <v>11.775636363636364</v>
      </c>
      <c r="R7" s="18">
        <v>7711.06</v>
      </c>
      <c r="S7" s="19">
        <f t="shared" si="1"/>
        <v>6878.7332738626228</v>
      </c>
      <c r="T7" s="18">
        <v>69.209999999999994</v>
      </c>
      <c r="U7" s="18">
        <v>40.46</v>
      </c>
      <c r="V7" s="14">
        <v>0</v>
      </c>
      <c r="W7" s="18"/>
    </row>
    <row r="8" spans="1:24" x14ac:dyDescent="0.25">
      <c r="A8" s="12">
        <v>2025</v>
      </c>
      <c r="B8" s="3" t="s">
        <v>539</v>
      </c>
      <c r="C8" s="14" t="s">
        <v>118</v>
      </c>
      <c r="D8" s="14" t="s">
        <v>119</v>
      </c>
      <c r="E8" s="14" t="s">
        <v>120</v>
      </c>
      <c r="F8" s="15" t="s">
        <v>546</v>
      </c>
      <c r="G8" s="15">
        <v>107</v>
      </c>
      <c r="H8" s="14">
        <v>7</v>
      </c>
      <c r="I8" s="14">
        <v>1</v>
      </c>
      <c r="J8" s="14">
        <v>3</v>
      </c>
      <c r="K8" s="14">
        <v>11</v>
      </c>
      <c r="L8" s="17" t="s">
        <v>69</v>
      </c>
      <c r="M8" s="17" t="s">
        <v>53</v>
      </c>
      <c r="N8" s="18">
        <v>7.62</v>
      </c>
      <c r="O8" s="18">
        <v>14.2</v>
      </c>
      <c r="P8" s="18">
        <v>42.9</v>
      </c>
      <c r="Q8" s="27">
        <f t="shared" si="0"/>
        <v>7.4295</v>
      </c>
      <c r="R8" s="18">
        <v>4865.07</v>
      </c>
      <c r="S8" s="19">
        <f t="shared" si="1"/>
        <v>4339.9375557537915</v>
      </c>
      <c r="T8" s="18">
        <v>68.53</v>
      </c>
      <c r="U8" s="18">
        <v>45.1</v>
      </c>
      <c r="V8" s="14">
        <v>1</v>
      </c>
      <c r="W8" s="18"/>
    </row>
    <row r="9" spans="1:24" x14ac:dyDescent="0.25">
      <c r="A9" s="12">
        <v>2025</v>
      </c>
      <c r="B9" s="3" t="s">
        <v>539</v>
      </c>
      <c r="C9" s="14" t="s">
        <v>118</v>
      </c>
      <c r="D9" s="14" t="s">
        <v>119</v>
      </c>
      <c r="E9" s="14" t="s">
        <v>120</v>
      </c>
      <c r="F9" s="15" t="s">
        <v>547</v>
      </c>
      <c r="G9" s="15">
        <v>201</v>
      </c>
      <c r="H9" s="14">
        <v>1</v>
      </c>
      <c r="I9" s="14">
        <v>2</v>
      </c>
      <c r="J9" s="14">
        <v>1</v>
      </c>
      <c r="K9" s="14">
        <v>4</v>
      </c>
      <c r="L9" s="17" t="s">
        <v>100</v>
      </c>
      <c r="M9" s="17" t="s">
        <v>603</v>
      </c>
      <c r="N9" s="18">
        <v>6.2</v>
      </c>
      <c r="O9" s="18">
        <v>15</v>
      </c>
      <c r="P9" s="18">
        <v>42</v>
      </c>
      <c r="Q9" s="27">
        <f t="shared" si="0"/>
        <v>5.9886363636363633</v>
      </c>
      <c r="R9" s="18">
        <v>3921.55</v>
      </c>
      <c r="S9" s="19">
        <f t="shared" si="1"/>
        <v>3498.2604817127567</v>
      </c>
      <c r="T9" s="18">
        <v>64.67</v>
      </c>
      <c r="U9" s="18">
        <v>32.44</v>
      </c>
      <c r="V9" s="14">
        <v>0</v>
      </c>
      <c r="W9" s="18"/>
    </row>
    <row r="10" spans="1:24" x14ac:dyDescent="0.25">
      <c r="A10" s="12">
        <v>2025</v>
      </c>
      <c r="B10" s="3" t="s">
        <v>539</v>
      </c>
      <c r="C10" s="14" t="s">
        <v>118</v>
      </c>
      <c r="D10" s="14" t="s">
        <v>119</v>
      </c>
      <c r="E10" s="14" t="s">
        <v>120</v>
      </c>
      <c r="F10" s="15" t="s">
        <v>548</v>
      </c>
      <c r="G10" s="15">
        <v>202</v>
      </c>
      <c r="H10" s="14">
        <v>2</v>
      </c>
      <c r="I10" s="14">
        <v>2</v>
      </c>
      <c r="J10" s="14">
        <v>1</v>
      </c>
      <c r="K10" s="14">
        <v>6</v>
      </c>
      <c r="L10" s="17" t="s">
        <v>339</v>
      </c>
      <c r="M10" s="17" t="s">
        <v>30</v>
      </c>
      <c r="N10" s="18">
        <v>5.35</v>
      </c>
      <c r="O10" s="18">
        <v>17.899999999999999</v>
      </c>
      <c r="P10" s="18">
        <v>40.5</v>
      </c>
      <c r="Q10" s="27">
        <f t="shared" si="0"/>
        <v>4.9913068181818172</v>
      </c>
      <c r="R10" s="18">
        <v>3268.46</v>
      </c>
      <c r="S10" s="19">
        <f t="shared" si="1"/>
        <v>2915.6645851917929</v>
      </c>
      <c r="T10" s="18">
        <v>69.09</v>
      </c>
      <c r="U10" s="18">
        <v>59.8</v>
      </c>
      <c r="V10" s="14">
        <v>0</v>
      </c>
      <c r="W10" s="18"/>
    </row>
    <row r="11" spans="1:24" x14ac:dyDescent="0.25">
      <c r="A11" s="12">
        <v>2025</v>
      </c>
      <c r="B11" s="3" t="s">
        <v>539</v>
      </c>
      <c r="C11" s="14" t="s">
        <v>118</v>
      </c>
      <c r="D11" s="14" t="s">
        <v>119</v>
      </c>
      <c r="E11" s="14" t="s">
        <v>120</v>
      </c>
      <c r="F11" s="15" t="s">
        <v>549</v>
      </c>
      <c r="G11" s="15">
        <v>203</v>
      </c>
      <c r="H11" s="14">
        <v>3</v>
      </c>
      <c r="I11" s="14">
        <v>2</v>
      </c>
      <c r="J11" s="14">
        <v>1</v>
      </c>
      <c r="K11" s="14">
        <v>2</v>
      </c>
      <c r="L11" s="17" t="s">
        <v>100</v>
      </c>
      <c r="M11" s="17" t="s">
        <v>30</v>
      </c>
      <c r="N11" s="18">
        <v>6.03</v>
      </c>
      <c r="O11" s="18">
        <v>14.8</v>
      </c>
      <c r="P11" s="18">
        <v>42.1</v>
      </c>
      <c r="Q11" s="27">
        <f t="shared" si="0"/>
        <v>5.8381363636363632</v>
      </c>
      <c r="R11" s="18">
        <v>3822.99</v>
      </c>
      <c r="S11" s="19">
        <f t="shared" si="1"/>
        <v>3410.3389830508472</v>
      </c>
      <c r="T11" s="18">
        <v>64.58</v>
      </c>
      <c r="U11" s="18">
        <v>28.27</v>
      </c>
      <c r="V11" s="14">
        <v>2</v>
      </c>
      <c r="W11" s="18"/>
    </row>
    <row r="12" spans="1:24" x14ac:dyDescent="0.25">
      <c r="A12" s="12">
        <v>2025</v>
      </c>
      <c r="B12" s="3" t="s">
        <v>539</v>
      </c>
      <c r="C12" s="14" t="s">
        <v>118</v>
      </c>
      <c r="D12" s="14" t="s">
        <v>119</v>
      </c>
      <c r="E12" s="14" t="s">
        <v>120</v>
      </c>
      <c r="F12" s="15" t="s">
        <v>550</v>
      </c>
      <c r="G12" s="15">
        <v>204</v>
      </c>
      <c r="H12" s="14">
        <v>4</v>
      </c>
      <c r="I12" s="14">
        <v>2</v>
      </c>
      <c r="J12" s="14">
        <v>2</v>
      </c>
      <c r="K12" s="14">
        <v>8</v>
      </c>
      <c r="L12" s="17" t="s">
        <v>339</v>
      </c>
      <c r="M12" s="17" t="s">
        <v>603</v>
      </c>
      <c r="N12" s="18">
        <v>4.97</v>
      </c>
      <c r="O12" s="18">
        <v>19.2</v>
      </c>
      <c r="P12" s="18">
        <v>40.299999999999997</v>
      </c>
      <c r="Q12" s="27">
        <f t="shared" si="0"/>
        <v>4.5633636363636363</v>
      </c>
      <c r="R12" s="18">
        <v>2988.23</v>
      </c>
      <c r="S12" s="19">
        <f t="shared" si="1"/>
        <v>2665.6824264049956</v>
      </c>
      <c r="T12" s="18">
        <v>69.16</v>
      </c>
      <c r="U12" s="18">
        <v>62.99</v>
      </c>
      <c r="V12" s="14">
        <v>1</v>
      </c>
      <c r="W12" s="18"/>
    </row>
    <row r="13" spans="1:24" x14ac:dyDescent="0.25">
      <c r="A13" s="12">
        <v>2025</v>
      </c>
      <c r="B13" s="3" t="s">
        <v>539</v>
      </c>
      <c r="C13" s="14" t="s">
        <v>118</v>
      </c>
      <c r="D13" s="14" t="s">
        <v>119</v>
      </c>
      <c r="E13" s="14" t="s">
        <v>120</v>
      </c>
      <c r="F13" s="15" t="s">
        <v>551</v>
      </c>
      <c r="G13" s="15">
        <v>205</v>
      </c>
      <c r="H13" s="14">
        <v>5</v>
      </c>
      <c r="I13" s="14">
        <v>2</v>
      </c>
      <c r="J13" s="14">
        <v>2</v>
      </c>
      <c r="K13" s="14">
        <v>11</v>
      </c>
      <c r="L13" s="17" t="s">
        <v>69</v>
      </c>
      <c r="M13" s="17" t="s">
        <v>53</v>
      </c>
      <c r="N13" s="18">
        <v>8.24</v>
      </c>
      <c r="O13" s="18">
        <v>15.4</v>
      </c>
      <c r="P13" s="18">
        <v>42.1</v>
      </c>
      <c r="Q13" s="27">
        <f t="shared" si="0"/>
        <v>7.921636363636364</v>
      </c>
      <c r="R13" s="18">
        <v>5187.34</v>
      </c>
      <c r="S13" s="19">
        <f t="shared" si="1"/>
        <v>4627.4219446922389</v>
      </c>
      <c r="T13" s="18">
        <v>69.22</v>
      </c>
      <c r="U13" s="18">
        <v>48.03</v>
      </c>
      <c r="V13" s="14">
        <v>0</v>
      </c>
      <c r="W13" s="18"/>
    </row>
    <row r="14" spans="1:24" x14ac:dyDescent="0.25">
      <c r="A14" s="12">
        <v>2025</v>
      </c>
      <c r="B14" s="3" t="s">
        <v>539</v>
      </c>
      <c r="C14" s="14" t="s">
        <v>118</v>
      </c>
      <c r="D14" s="14" t="s">
        <v>119</v>
      </c>
      <c r="E14" s="14" t="s">
        <v>120</v>
      </c>
      <c r="F14" s="15" t="s">
        <v>552</v>
      </c>
      <c r="G14" s="15">
        <v>206</v>
      </c>
      <c r="H14" s="14">
        <v>6</v>
      </c>
      <c r="I14" s="14">
        <v>2</v>
      </c>
      <c r="J14" s="14">
        <v>3</v>
      </c>
      <c r="K14" s="14">
        <v>16</v>
      </c>
      <c r="L14" s="17" t="s">
        <v>336</v>
      </c>
      <c r="M14" s="17" t="s">
        <v>603</v>
      </c>
      <c r="N14" s="18">
        <v>12.13</v>
      </c>
      <c r="O14" s="18">
        <v>14.8</v>
      </c>
      <c r="P14" s="18">
        <v>42.6</v>
      </c>
      <c r="Q14" s="27">
        <f t="shared" si="0"/>
        <v>11.744045454545455</v>
      </c>
      <c r="R14" s="18">
        <v>7690.37</v>
      </c>
      <c r="S14" s="19">
        <f t="shared" si="1"/>
        <v>6860.2765388046382</v>
      </c>
      <c r="T14" s="18">
        <v>70.290000000000006</v>
      </c>
      <c r="U14" s="18">
        <v>46.2</v>
      </c>
      <c r="V14" s="14">
        <v>0</v>
      </c>
      <c r="W14" s="18"/>
    </row>
    <row r="15" spans="1:24" x14ac:dyDescent="0.25">
      <c r="A15" s="12">
        <v>2025</v>
      </c>
      <c r="B15" s="3" t="s">
        <v>539</v>
      </c>
      <c r="C15" s="14" t="s">
        <v>118</v>
      </c>
      <c r="D15" s="14" t="s">
        <v>119</v>
      </c>
      <c r="E15" s="14" t="s">
        <v>120</v>
      </c>
      <c r="F15" s="15" t="s">
        <v>553</v>
      </c>
      <c r="G15" s="15">
        <v>207</v>
      </c>
      <c r="H15" s="14">
        <v>7</v>
      </c>
      <c r="I15" s="14">
        <v>2</v>
      </c>
      <c r="J15" s="14">
        <v>3</v>
      </c>
      <c r="K15" s="14">
        <v>17</v>
      </c>
      <c r="L15" s="17" t="s">
        <v>42</v>
      </c>
      <c r="M15" s="17" t="s">
        <v>538</v>
      </c>
      <c r="N15" s="18">
        <v>7.19</v>
      </c>
      <c r="O15" s="18">
        <v>13.5</v>
      </c>
      <c r="P15" s="18">
        <v>43.2</v>
      </c>
      <c r="Q15" s="27">
        <f t="shared" si="0"/>
        <v>7.0674431818181827</v>
      </c>
      <c r="R15" s="18">
        <v>4627.9799999999996</v>
      </c>
      <c r="S15" s="19">
        <f t="shared" si="1"/>
        <v>4128.438893844781</v>
      </c>
      <c r="T15" s="18">
        <v>71.7</v>
      </c>
      <c r="U15" s="18">
        <v>55.88</v>
      </c>
      <c r="V15" s="14">
        <v>1</v>
      </c>
      <c r="W15" s="18"/>
    </row>
    <row r="16" spans="1:24" x14ac:dyDescent="0.25">
      <c r="A16" s="12">
        <v>2025</v>
      </c>
      <c r="B16" s="3" t="s">
        <v>539</v>
      </c>
      <c r="C16" s="14" t="s">
        <v>118</v>
      </c>
      <c r="D16" s="14" t="s">
        <v>119</v>
      </c>
      <c r="E16" s="14" t="s">
        <v>120</v>
      </c>
      <c r="F16" s="15" t="s">
        <v>554</v>
      </c>
      <c r="G16" s="15">
        <v>301</v>
      </c>
      <c r="H16" s="14">
        <v>1</v>
      </c>
      <c r="I16" s="14">
        <v>3</v>
      </c>
      <c r="J16" s="14">
        <v>1</v>
      </c>
      <c r="K16" s="14">
        <v>10</v>
      </c>
      <c r="L16" s="17" t="s">
        <v>69</v>
      </c>
      <c r="M16" s="17" t="s">
        <v>30</v>
      </c>
      <c r="N16" s="18">
        <v>8.15</v>
      </c>
      <c r="O16" s="18">
        <v>14.9</v>
      </c>
      <c r="P16" s="18">
        <v>42.2</v>
      </c>
      <c r="Q16" s="27">
        <f t="shared" si="0"/>
        <v>7.881420454545454</v>
      </c>
      <c r="R16" s="18">
        <v>5161</v>
      </c>
      <c r="S16" s="19">
        <f t="shared" si="1"/>
        <v>4603.9250669045496</v>
      </c>
      <c r="T16" s="18">
        <v>68.5</v>
      </c>
      <c r="U16" s="18">
        <v>48.46</v>
      </c>
      <c r="V16" s="14">
        <v>0</v>
      </c>
      <c r="W16" s="18"/>
    </row>
    <row r="17" spans="1:23" x14ac:dyDescent="0.25">
      <c r="A17" s="12">
        <v>2025</v>
      </c>
      <c r="B17" s="3" t="s">
        <v>539</v>
      </c>
      <c r="C17" s="14" t="s">
        <v>118</v>
      </c>
      <c r="D17" s="14" t="s">
        <v>119</v>
      </c>
      <c r="E17" s="14" t="s">
        <v>120</v>
      </c>
      <c r="F17" s="15" t="s">
        <v>555</v>
      </c>
      <c r="G17" s="15">
        <v>302</v>
      </c>
      <c r="H17" s="14">
        <v>2</v>
      </c>
      <c r="I17" s="14">
        <v>3</v>
      </c>
      <c r="J17" s="14">
        <v>1</v>
      </c>
      <c r="K17" s="14">
        <v>11</v>
      </c>
      <c r="L17" s="17" t="s">
        <v>69</v>
      </c>
      <c r="M17" s="17" t="s">
        <v>53</v>
      </c>
      <c r="N17" s="18">
        <v>8.0399999999999991</v>
      </c>
      <c r="O17" s="18">
        <v>15.4</v>
      </c>
      <c r="P17" s="18">
        <v>42</v>
      </c>
      <c r="Q17" s="27">
        <f t="shared" si="0"/>
        <v>7.7293636363636358</v>
      </c>
      <c r="R17" s="18">
        <v>5061.43</v>
      </c>
      <c r="S17" s="19">
        <f t="shared" si="1"/>
        <v>4515.1025869759151</v>
      </c>
      <c r="T17" s="18">
        <v>68.2</v>
      </c>
      <c r="U17" s="18">
        <v>48.48</v>
      </c>
      <c r="V17" s="14">
        <v>1</v>
      </c>
      <c r="W17" s="18"/>
    </row>
    <row r="18" spans="1:23" x14ac:dyDescent="0.25">
      <c r="A18" s="12">
        <v>2025</v>
      </c>
      <c r="B18" s="3" t="s">
        <v>539</v>
      </c>
      <c r="C18" s="14" t="s">
        <v>118</v>
      </c>
      <c r="D18" s="14" t="s">
        <v>119</v>
      </c>
      <c r="E18" s="14" t="s">
        <v>120</v>
      </c>
      <c r="F18" s="15" t="s">
        <v>556</v>
      </c>
      <c r="G18" s="15">
        <v>303</v>
      </c>
      <c r="H18" s="14">
        <v>3</v>
      </c>
      <c r="I18" s="14">
        <v>3</v>
      </c>
      <c r="J18" s="14">
        <v>2</v>
      </c>
      <c r="K18" s="14">
        <v>6</v>
      </c>
      <c r="L18" s="17" t="s">
        <v>339</v>
      </c>
      <c r="M18" s="17" t="s">
        <v>30</v>
      </c>
      <c r="N18" s="18">
        <v>5.74</v>
      </c>
      <c r="O18" s="18">
        <v>19</v>
      </c>
      <c r="P18" s="18">
        <v>40</v>
      </c>
      <c r="Q18" s="27">
        <f t="shared" si="0"/>
        <v>5.2834090909090916</v>
      </c>
      <c r="R18" s="18">
        <v>3459.74</v>
      </c>
      <c r="S18" s="19">
        <f t="shared" si="1"/>
        <v>3086.2979482604815</v>
      </c>
      <c r="T18" s="18">
        <v>68.16</v>
      </c>
      <c r="U18" s="18">
        <v>59.45</v>
      </c>
      <c r="V18" s="14">
        <v>1</v>
      </c>
      <c r="W18" s="18"/>
    </row>
    <row r="19" spans="1:23" x14ac:dyDescent="0.25">
      <c r="A19" s="12">
        <v>2025</v>
      </c>
      <c r="B19" s="3" t="s">
        <v>539</v>
      </c>
      <c r="C19" s="14" t="s">
        <v>118</v>
      </c>
      <c r="D19" s="14" t="s">
        <v>119</v>
      </c>
      <c r="E19" s="14" t="s">
        <v>120</v>
      </c>
      <c r="F19" s="15" t="s">
        <v>557</v>
      </c>
      <c r="G19" s="15">
        <v>304</v>
      </c>
      <c r="H19" s="14">
        <v>4</v>
      </c>
      <c r="I19" s="14">
        <v>3</v>
      </c>
      <c r="J19" s="14">
        <v>2</v>
      </c>
      <c r="K19" s="14">
        <v>5</v>
      </c>
      <c r="L19" s="17" t="s">
        <v>339</v>
      </c>
      <c r="M19" s="17" t="s">
        <v>538</v>
      </c>
      <c r="N19" s="18">
        <v>5.96</v>
      </c>
      <c r="O19" s="18">
        <v>19.600000000000001</v>
      </c>
      <c r="P19" s="18">
        <v>40</v>
      </c>
      <c r="Q19" s="27">
        <f t="shared" si="0"/>
        <v>5.4452727272727275</v>
      </c>
      <c r="R19" s="18">
        <v>3565.74</v>
      </c>
      <c r="S19" s="19">
        <f t="shared" si="1"/>
        <v>3180.8563782337196</v>
      </c>
      <c r="T19" s="18">
        <v>69.099999999999994</v>
      </c>
      <c r="U19" s="18">
        <v>62.47</v>
      </c>
      <c r="V19" s="14">
        <v>2</v>
      </c>
      <c r="W19" s="18"/>
    </row>
    <row r="20" spans="1:23" x14ac:dyDescent="0.25">
      <c r="A20" s="12">
        <v>2025</v>
      </c>
      <c r="B20" s="3" t="s">
        <v>539</v>
      </c>
      <c r="C20" s="14" t="s">
        <v>118</v>
      </c>
      <c r="D20" s="14" t="s">
        <v>119</v>
      </c>
      <c r="E20" s="14" t="s">
        <v>120</v>
      </c>
      <c r="F20" s="15" t="s">
        <v>558</v>
      </c>
      <c r="G20" s="15">
        <v>305</v>
      </c>
      <c r="H20" s="14">
        <v>5</v>
      </c>
      <c r="I20" s="14">
        <v>3</v>
      </c>
      <c r="J20" s="14">
        <v>2</v>
      </c>
      <c r="K20" s="14">
        <v>20</v>
      </c>
      <c r="L20" s="17" t="s">
        <v>42</v>
      </c>
      <c r="M20" s="17" t="s">
        <v>603</v>
      </c>
      <c r="N20" s="18">
        <v>7.09</v>
      </c>
      <c r="O20" s="18">
        <v>16</v>
      </c>
      <c r="P20" s="18">
        <v>41.5</v>
      </c>
      <c r="Q20" s="27">
        <f t="shared" si="0"/>
        <v>6.7677272727272726</v>
      </c>
      <c r="R20" s="18">
        <v>4431.72</v>
      </c>
      <c r="S20" s="19">
        <f t="shared" si="1"/>
        <v>3953.3630686886709</v>
      </c>
      <c r="T20" s="18">
        <v>71.39</v>
      </c>
      <c r="U20" s="18">
        <v>55.08</v>
      </c>
      <c r="V20" s="14">
        <v>0</v>
      </c>
      <c r="W20" s="18"/>
    </row>
    <row r="21" spans="1:23" x14ac:dyDescent="0.25">
      <c r="A21" s="12">
        <v>2025</v>
      </c>
      <c r="B21" s="3" t="s">
        <v>539</v>
      </c>
      <c r="C21" s="14" t="s">
        <v>118</v>
      </c>
      <c r="D21" s="14" t="s">
        <v>119</v>
      </c>
      <c r="E21" s="14" t="s">
        <v>120</v>
      </c>
      <c r="F21" s="15" t="s">
        <v>559</v>
      </c>
      <c r="G21" s="15">
        <v>306</v>
      </c>
      <c r="H21" s="14">
        <v>6</v>
      </c>
      <c r="I21" s="14">
        <v>3</v>
      </c>
      <c r="J21" s="14">
        <v>3</v>
      </c>
      <c r="K21" s="14">
        <v>18</v>
      </c>
      <c r="L21" s="17" t="s">
        <v>42</v>
      </c>
      <c r="M21" s="17" t="s">
        <v>30</v>
      </c>
      <c r="N21" s="18">
        <v>6.03</v>
      </c>
      <c r="O21" s="18">
        <v>14.9</v>
      </c>
      <c r="P21" s="18">
        <v>42.1</v>
      </c>
      <c r="Q21" s="27">
        <f t="shared" si="0"/>
        <v>5.8312840909090902</v>
      </c>
      <c r="R21" s="18">
        <v>3818.51</v>
      </c>
      <c r="S21" s="19">
        <f t="shared" si="1"/>
        <v>3406.3425512934882</v>
      </c>
      <c r="T21" s="18">
        <v>71.94</v>
      </c>
      <c r="U21" s="18">
        <v>55.88</v>
      </c>
      <c r="V21" s="14">
        <v>1</v>
      </c>
      <c r="W21" s="18"/>
    </row>
    <row r="22" spans="1:23" x14ac:dyDescent="0.25">
      <c r="A22" s="12">
        <v>2025</v>
      </c>
      <c r="B22" s="3" t="s">
        <v>539</v>
      </c>
      <c r="C22" s="14" t="s">
        <v>118</v>
      </c>
      <c r="D22" s="14" t="s">
        <v>119</v>
      </c>
      <c r="E22" s="14" t="s">
        <v>120</v>
      </c>
      <c r="F22" s="15" t="s">
        <v>560</v>
      </c>
      <c r="G22" s="15">
        <v>307</v>
      </c>
      <c r="H22" s="14">
        <v>7</v>
      </c>
      <c r="I22" s="14">
        <v>3</v>
      </c>
      <c r="J22" s="14">
        <v>3</v>
      </c>
      <c r="K22" s="14">
        <v>19</v>
      </c>
      <c r="L22" s="17" t="s">
        <v>42</v>
      </c>
      <c r="M22" s="17" t="s">
        <v>53</v>
      </c>
      <c r="N22" s="18">
        <v>6.71</v>
      </c>
      <c r="O22" s="18">
        <v>13.9</v>
      </c>
      <c r="P22" s="18">
        <v>42.8</v>
      </c>
      <c r="Q22" s="27">
        <f t="shared" si="0"/>
        <v>6.5651250000000001</v>
      </c>
      <c r="R22" s="18">
        <v>4299.05</v>
      </c>
      <c r="S22" s="19">
        <f t="shared" si="1"/>
        <v>3835.013380909902</v>
      </c>
      <c r="T22" s="18">
        <v>72.31</v>
      </c>
      <c r="U22" s="18">
        <v>55.85</v>
      </c>
      <c r="V22" s="14">
        <v>0</v>
      </c>
      <c r="W22" s="18"/>
    </row>
    <row r="23" spans="1:23" x14ac:dyDescent="0.25">
      <c r="A23" s="12">
        <v>2025</v>
      </c>
      <c r="B23" s="3" t="s">
        <v>539</v>
      </c>
      <c r="C23" s="14" t="s">
        <v>118</v>
      </c>
      <c r="D23" s="14" t="s">
        <v>119</v>
      </c>
      <c r="E23" s="14" t="s">
        <v>120</v>
      </c>
      <c r="F23" s="15" t="s">
        <v>561</v>
      </c>
      <c r="G23" s="15">
        <v>401</v>
      </c>
      <c r="H23" s="14">
        <v>1</v>
      </c>
      <c r="I23" s="14">
        <v>4</v>
      </c>
      <c r="J23" s="14">
        <v>1</v>
      </c>
      <c r="K23" s="14">
        <v>17</v>
      </c>
      <c r="L23" s="17" t="s">
        <v>42</v>
      </c>
      <c r="M23" s="17" t="s">
        <v>538</v>
      </c>
      <c r="N23" s="18">
        <v>6.39</v>
      </c>
      <c r="O23" s="18">
        <v>14.7</v>
      </c>
      <c r="P23" s="18">
        <v>42.1</v>
      </c>
      <c r="Q23" s="27">
        <f t="shared" si="0"/>
        <v>6.1939431818181818</v>
      </c>
      <c r="R23" s="18">
        <v>4055.99</v>
      </c>
      <c r="S23" s="19">
        <f t="shared" si="1"/>
        <v>3618.1891168599464</v>
      </c>
      <c r="T23" s="18">
        <v>71.67</v>
      </c>
      <c r="U23" s="18">
        <v>55.87</v>
      </c>
      <c r="V23" s="14">
        <v>1</v>
      </c>
      <c r="W23" s="18"/>
    </row>
    <row r="24" spans="1:23" x14ac:dyDescent="0.25">
      <c r="A24" s="12">
        <v>2025</v>
      </c>
      <c r="B24" s="3" t="s">
        <v>539</v>
      </c>
      <c r="C24" s="14" t="s">
        <v>118</v>
      </c>
      <c r="D24" s="14" t="s">
        <v>119</v>
      </c>
      <c r="E24" s="14" t="s">
        <v>120</v>
      </c>
      <c r="F24" s="15" t="s">
        <v>562</v>
      </c>
      <c r="G24" s="15">
        <v>402</v>
      </c>
      <c r="H24" s="14">
        <v>2</v>
      </c>
      <c r="I24" s="14">
        <v>4</v>
      </c>
      <c r="J24" s="14">
        <v>1</v>
      </c>
      <c r="K24" s="14">
        <v>15</v>
      </c>
      <c r="L24" s="17" t="s">
        <v>336</v>
      </c>
      <c r="M24" s="17" t="s">
        <v>53</v>
      </c>
      <c r="N24" s="18">
        <v>10.210000000000001</v>
      </c>
      <c r="O24" s="18">
        <v>16.600000000000001</v>
      </c>
      <c r="P24" s="18">
        <v>41.1</v>
      </c>
      <c r="Q24" s="27">
        <f t="shared" si="0"/>
        <v>9.6762954545454551</v>
      </c>
      <c r="R24" s="18">
        <v>6336.34</v>
      </c>
      <c r="S24" s="19">
        <f t="shared" si="1"/>
        <v>5652.3996431757359</v>
      </c>
      <c r="T24" s="18">
        <v>70.41</v>
      </c>
      <c r="U24" s="18">
        <v>50.61</v>
      </c>
      <c r="V24" s="14">
        <v>0</v>
      </c>
      <c r="W24" s="18"/>
    </row>
    <row r="25" spans="1:23" x14ac:dyDescent="0.25">
      <c r="A25" s="12">
        <v>2025</v>
      </c>
      <c r="B25" s="3" t="s">
        <v>539</v>
      </c>
      <c r="C25" s="14" t="s">
        <v>118</v>
      </c>
      <c r="D25" s="14" t="s">
        <v>119</v>
      </c>
      <c r="E25" s="14" t="s">
        <v>120</v>
      </c>
      <c r="F25" s="15" t="s">
        <v>563</v>
      </c>
      <c r="G25" s="15">
        <v>403</v>
      </c>
      <c r="H25" s="14">
        <v>3</v>
      </c>
      <c r="I25" s="14">
        <v>4</v>
      </c>
      <c r="J25" s="14">
        <v>2</v>
      </c>
      <c r="K25" s="14">
        <v>13</v>
      </c>
      <c r="L25" s="17" t="s">
        <v>336</v>
      </c>
      <c r="M25" s="17" t="s">
        <v>538</v>
      </c>
      <c r="N25" s="18">
        <v>11.12</v>
      </c>
      <c r="O25" s="18">
        <v>16.2</v>
      </c>
      <c r="P25" s="18">
        <v>41.5</v>
      </c>
      <c r="Q25" s="27">
        <f t="shared" si="0"/>
        <v>10.589272727272727</v>
      </c>
      <c r="R25" s="18">
        <v>6934.19</v>
      </c>
      <c r="S25" s="19">
        <f t="shared" si="1"/>
        <v>6185.7181088314001</v>
      </c>
      <c r="T25" s="18">
        <v>69.739999999999995</v>
      </c>
      <c r="U25" s="18">
        <v>45.69</v>
      </c>
      <c r="V25" s="14">
        <v>1</v>
      </c>
      <c r="W25" s="18"/>
    </row>
    <row r="26" spans="1:23" x14ac:dyDescent="0.25">
      <c r="A26" s="12">
        <v>2025</v>
      </c>
      <c r="B26" s="3" t="s">
        <v>539</v>
      </c>
      <c r="C26" s="14" t="s">
        <v>118</v>
      </c>
      <c r="D26" s="14" t="s">
        <v>119</v>
      </c>
      <c r="E26" s="14" t="s">
        <v>120</v>
      </c>
      <c r="F26" s="15" t="s">
        <v>564</v>
      </c>
      <c r="G26" s="15">
        <v>404</v>
      </c>
      <c r="H26" s="14">
        <v>4</v>
      </c>
      <c r="I26" s="14">
        <v>4</v>
      </c>
      <c r="J26" s="14">
        <v>2</v>
      </c>
      <c r="K26" s="14">
        <v>19</v>
      </c>
      <c r="L26" s="17" t="s">
        <v>42</v>
      </c>
      <c r="M26" s="17" t="s">
        <v>53</v>
      </c>
      <c r="N26" s="18">
        <v>7.83</v>
      </c>
      <c r="O26" s="18">
        <v>16.600000000000001</v>
      </c>
      <c r="P26" s="18">
        <v>41.3</v>
      </c>
      <c r="Q26" s="27">
        <f t="shared" si="0"/>
        <v>7.4207045454545453</v>
      </c>
      <c r="R26" s="18">
        <v>4859.3100000000004</v>
      </c>
      <c r="S26" s="19">
        <f t="shared" si="1"/>
        <v>4334.7992863514719</v>
      </c>
      <c r="T26" s="18">
        <v>72.349999999999994</v>
      </c>
      <c r="U26" s="18">
        <v>57.48</v>
      </c>
      <c r="V26" s="14">
        <v>1</v>
      </c>
      <c r="W26" s="18"/>
    </row>
    <row r="27" spans="1:23" x14ac:dyDescent="0.25">
      <c r="A27" s="12">
        <v>2025</v>
      </c>
      <c r="B27" s="3" t="s">
        <v>539</v>
      </c>
      <c r="C27" s="14" t="s">
        <v>118</v>
      </c>
      <c r="D27" s="14" t="s">
        <v>119</v>
      </c>
      <c r="E27" s="14" t="s">
        <v>120</v>
      </c>
      <c r="F27" s="15" t="s">
        <v>565</v>
      </c>
      <c r="G27" s="15">
        <v>405</v>
      </c>
      <c r="H27" s="14">
        <v>5</v>
      </c>
      <c r="I27" s="14">
        <v>4</v>
      </c>
      <c r="J27" s="14">
        <v>2</v>
      </c>
      <c r="K27" s="14">
        <v>3</v>
      </c>
      <c r="L27" s="17" t="s">
        <v>100</v>
      </c>
      <c r="M27" s="17" t="s">
        <v>53</v>
      </c>
      <c r="N27" s="18">
        <v>7.08</v>
      </c>
      <c r="O27" s="18">
        <v>15.2</v>
      </c>
      <c r="P27" s="18">
        <v>42.1</v>
      </c>
      <c r="Q27" s="27">
        <f t="shared" si="0"/>
        <v>6.8225454545454545</v>
      </c>
      <c r="R27" s="18">
        <v>4467.62</v>
      </c>
      <c r="S27" s="19">
        <f t="shared" si="1"/>
        <v>3985.3880463871542</v>
      </c>
      <c r="T27" s="18">
        <v>65.599999999999994</v>
      </c>
      <c r="U27" s="18">
        <v>35.26</v>
      </c>
      <c r="V27" s="14">
        <v>2</v>
      </c>
      <c r="W27" s="18"/>
    </row>
    <row r="28" spans="1:23" x14ac:dyDescent="0.25">
      <c r="A28" s="12">
        <v>2025</v>
      </c>
      <c r="B28" s="3" t="s">
        <v>539</v>
      </c>
      <c r="C28" s="14" t="s">
        <v>118</v>
      </c>
      <c r="D28" s="14" t="s">
        <v>119</v>
      </c>
      <c r="E28" s="14" t="s">
        <v>120</v>
      </c>
      <c r="F28" s="15" t="s">
        <v>566</v>
      </c>
      <c r="G28" s="15">
        <v>406</v>
      </c>
      <c r="H28" s="14">
        <v>6</v>
      </c>
      <c r="I28" s="14">
        <v>4</v>
      </c>
      <c r="J28" s="14">
        <v>3</v>
      </c>
      <c r="K28" s="14">
        <v>20</v>
      </c>
      <c r="L28" s="17" t="s">
        <v>42</v>
      </c>
      <c r="M28" s="17" t="s">
        <v>603</v>
      </c>
      <c r="N28" s="18">
        <v>7.97</v>
      </c>
      <c r="O28" s="18">
        <v>15.1</v>
      </c>
      <c r="P28" s="18">
        <v>42.2</v>
      </c>
      <c r="Q28" s="27">
        <f t="shared" si="0"/>
        <v>7.689238636363636</v>
      </c>
      <c r="R28" s="18">
        <v>5035.1499999999996</v>
      </c>
      <c r="S28" s="19">
        <f t="shared" si="1"/>
        <v>4491.6592328278321</v>
      </c>
      <c r="T28" s="18">
        <v>71.540000000000006</v>
      </c>
      <c r="U28" s="18">
        <v>57.22</v>
      </c>
      <c r="V28" s="14">
        <v>1</v>
      </c>
      <c r="W28" s="18"/>
    </row>
    <row r="29" spans="1:23" x14ac:dyDescent="0.25">
      <c r="A29" s="12">
        <v>2025</v>
      </c>
      <c r="B29" s="3" t="s">
        <v>539</v>
      </c>
      <c r="C29" s="14" t="s">
        <v>118</v>
      </c>
      <c r="D29" s="14" t="s">
        <v>119</v>
      </c>
      <c r="E29" s="14" t="s">
        <v>120</v>
      </c>
      <c r="F29" s="15" t="s">
        <v>567</v>
      </c>
      <c r="G29" s="15">
        <v>407</v>
      </c>
      <c r="H29" s="14">
        <v>7</v>
      </c>
      <c r="I29" s="14">
        <v>4</v>
      </c>
      <c r="J29" s="14">
        <v>3</v>
      </c>
      <c r="K29" s="14">
        <v>3</v>
      </c>
      <c r="L29" s="17" t="s">
        <v>100</v>
      </c>
      <c r="M29" s="17" t="s">
        <v>53</v>
      </c>
      <c r="N29" s="18">
        <v>6.6</v>
      </c>
      <c r="O29" s="18">
        <v>15.9</v>
      </c>
      <c r="P29" s="18">
        <v>41.3</v>
      </c>
      <c r="Q29" s="27">
        <f t="shared" si="0"/>
        <v>6.3074999999999992</v>
      </c>
      <c r="R29" s="18">
        <v>4130.3500000000004</v>
      </c>
      <c r="S29" s="19">
        <f t="shared" si="1"/>
        <v>3684.5227475468337</v>
      </c>
      <c r="T29" s="18">
        <v>66.099999999999994</v>
      </c>
      <c r="U29" s="18">
        <v>34.94</v>
      </c>
      <c r="V29" s="14">
        <v>0</v>
      </c>
      <c r="W29" s="18"/>
    </row>
    <row r="30" spans="1:23" x14ac:dyDescent="0.25">
      <c r="A30" s="12">
        <v>2025</v>
      </c>
      <c r="B30" s="3" t="s">
        <v>539</v>
      </c>
      <c r="C30" s="14" t="s">
        <v>118</v>
      </c>
      <c r="D30" s="14" t="s">
        <v>119</v>
      </c>
      <c r="E30" s="14" t="s">
        <v>120</v>
      </c>
      <c r="F30" s="15" t="s">
        <v>568</v>
      </c>
      <c r="G30" s="15">
        <v>501</v>
      </c>
      <c r="H30" s="14">
        <v>1</v>
      </c>
      <c r="I30" s="14">
        <v>5</v>
      </c>
      <c r="J30" s="14">
        <v>1</v>
      </c>
      <c r="K30" s="14">
        <v>9</v>
      </c>
      <c r="L30" s="17" t="s">
        <v>69</v>
      </c>
      <c r="M30" s="17" t="s">
        <v>538</v>
      </c>
      <c r="N30" s="18">
        <v>7.98</v>
      </c>
      <c r="O30" s="18">
        <v>15.2</v>
      </c>
      <c r="P30" s="18">
        <v>42</v>
      </c>
      <c r="Q30" s="27">
        <f t="shared" si="0"/>
        <v>7.6898181818181826</v>
      </c>
      <c r="R30" s="18">
        <v>5035.53</v>
      </c>
      <c r="S30" s="19">
        <f t="shared" si="1"/>
        <v>4491.9982158786797</v>
      </c>
      <c r="T30" s="18">
        <v>68.900000000000006</v>
      </c>
      <c r="U30" s="18">
        <v>49.63</v>
      </c>
      <c r="V30" s="14">
        <v>1</v>
      </c>
      <c r="W30" s="18"/>
    </row>
    <row r="31" spans="1:23" x14ac:dyDescent="0.25">
      <c r="A31" s="12">
        <v>2025</v>
      </c>
      <c r="B31" s="3" t="s">
        <v>539</v>
      </c>
      <c r="C31" s="14" t="s">
        <v>118</v>
      </c>
      <c r="D31" s="14" t="s">
        <v>119</v>
      </c>
      <c r="E31" s="14" t="s">
        <v>120</v>
      </c>
      <c r="F31" s="15" t="s">
        <v>569</v>
      </c>
      <c r="G31" s="15">
        <v>502</v>
      </c>
      <c r="H31" s="14">
        <v>2</v>
      </c>
      <c r="I31" s="14">
        <v>5</v>
      </c>
      <c r="J31" s="14">
        <v>1</v>
      </c>
      <c r="K31" s="14">
        <v>1</v>
      </c>
      <c r="L31" s="17" t="s">
        <v>100</v>
      </c>
      <c r="M31" s="17" t="s">
        <v>538</v>
      </c>
      <c r="N31" s="18">
        <v>7</v>
      </c>
      <c r="O31" s="18">
        <v>16.5</v>
      </c>
      <c r="P31" s="18">
        <v>41.2</v>
      </c>
      <c r="Q31" s="27">
        <f t="shared" si="0"/>
        <v>6.6420454545454541</v>
      </c>
      <c r="R31" s="18">
        <v>4349.42</v>
      </c>
      <c r="S31" s="19">
        <f t="shared" si="1"/>
        <v>3879.9464763603928</v>
      </c>
      <c r="T31" s="18">
        <v>66.86</v>
      </c>
      <c r="U31" s="18">
        <v>37.44</v>
      </c>
      <c r="V31" s="14">
        <v>0</v>
      </c>
      <c r="W31" s="18"/>
    </row>
    <row r="32" spans="1:23" x14ac:dyDescent="0.25">
      <c r="A32" s="12">
        <v>2025</v>
      </c>
      <c r="B32" s="3" t="s">
        <v>539</v>
      </c>
      <c r="C32" s="14" t="s">
        <v>118</v>
      </c>
      <c r="D32" s="14" t="s">
        <v>119</v>
      </c>
      <c r="E32" s="14" t="s">
        <v>120</v>
      </c>
      <c r="F32" s="15" t="s">
        <v>570</v>
      </c>
      <c r="G32" s="15">
        <v>503</v>
      </c>
      <c r="H32" s="14">
        <v>3</v>
      </c>
      <c r="I32" s="14">
        <v>5</v>
      </c>
      <c r="J32" s="14">
        <v>2</v>
      </c>
      <c r="K32" s="14">
        <v>10</v>
      </c>
      <c r="L32" s="17" t="s">
        <v>69</v>
      </c>
      <c r="M32" s="17" t="s">
        <v>30</v>
      </c>
      <c r="N32" s="18">
        <v>8.84</v>
      </c>
      <c r="O32" s="18">
        <v>15.9</v>
      </c>
      <c r="P32" s="18">
        <v>42.1</v>
      </c>
      <c r="Q32" s="27">
        <f t="shared" si="0"/>
        <v>8.4482272727272729</v>
      </c>
      <c r="R32" s="18">
        <v>5532.16</v>
      </c>
      <c r="S32" s="19">
        <f t="shared" si="1"/>
        <v>4935.0223015165029</v>
      </c>
      <c r="T32" s="18">
        <v>70.650000000000006</v>
      </c>
      <c r="U32" s="18">
        <v>51.99</v>
      </c>
      <c r="V32" s="14">
        <v>1</v>
      </c>
      <c r="W32" s="18"/>
    </row>
    <row r="33" spans="1:23" x14ac:dyDescent="0.25">
      <c r="A33" s="12">
        <v>2025</v>
      </c>
      <c r="B33" s="3" t="s">
        <v>539</v>
      </c>
      <c r="C33" s="14" t="s">
        <v>118</v>
      </c>
      <c r="D33" s="14" t="s">
        <v>119</v>
      </c>
      <c r="E33" s="14" t="s">
        <v>120</v>
      </c>
      <c r="F33" s="15" t="s">
        <v>571</v>
      </c>
      <c r="G33" s="15">
        <v>504</v>
      </c>
      <c r="H33" s="14">
        <v>4</v>
      </c>
      <c r="I33" s="14">
        <v>5</v>
      </c>
      <c r="J33" s="14">
        <v>2</v>
      </c>
      <c r="K33" s="14">
        <v>16</v>
      </c>
      <c r="L33" s="17" t="s">
        <v>336</v>
      </c>
      <c r="M33" s="17" t="s">
        <v>603</v>
      </c>
      <c r="N33" s="18">
        <v>12.04</v>
      </c>
      <c r="O33" s="18">
        <v>15.9</v>
      </c>
      <c r="P33" s="18">
        <v>41.7</v>
      </c>
      <c r="Q33" s="27">
        <f t="shared" si="0"/>
        <v>11.50640909090909</v>
      </c>
      <c r="R33" s="18">
        <v>7534.76</v>
      </c>
      <c r="S33" s="19">
        <f t="shared" si="1"/>
        <v>6721.4629794826051</v>
      </c>
      <c r="T33" s="18">
        <v>70.819999999999993</v>
      </c>
      <c r="U33" s="18">
        <v>50.57</v>
      </c>
      <c r="V33" s="14">
        <v>0</v>
      </c>
      <c r="W33" s="18"/>
    </row>
    <row r="34" spans="1:23" x14ac:dyDescent="0.25">
      <c r="A34" s="12">
        <v>2025</v>
      </c>
      <c r="B34" s="3" t="s">
        <v>539</v>
      </c>
      <c r="C34" s="14" t="s">
        <v>118</v>
      </c>
      <c r="D34" s="14" t="s">
        <v>119</v>
      </c>
      <c r="E34" s="14" t="s">
        <v>120</v>
      </c>
      <c r="F34" s="15" t="s">
        <v>572</v>
      </c>
      <c r="G34" s="15">
        <v>505</v>
      </c>
      <c r="H34" s="14">
        <v>5</v>
      </c>
      <c r="I34" s="14">
        <v>5</v>
      </c>
      <c r="J34" s="14">
        <v>3</v>
      </c>
      <c r="K34" s="14">
        <v>12</v>
      </c>
      <c r="L34" s="17" t="s">
        <v>69</v>
      </c>
      <c r="M34" s="17" t="s">
        <v>603</v>
      </c>
      <c r="N34" s="18">
        <v>8.69</v>
      </c>
      <c r="O34" s="18">
        <v>15.8</v>
      </c>
      <c r="P34" s="18">
        <v>42</v>
      </c>
      <c r="Q34" s="27">
        <f t="shared" si="0"/>
        <v>8.3147499999999983</v>
      </c>
      <c r="R34" s="18">
        <v>5444.76</v>
      </c>
      <c r="S34" s="19">
        <f t="shared" si="1"/>
        <v>4857.0561998215881</v>
      </c>
      <c r="T34" s="18">
        <v>68.790000000000006</v>
      </c>
      <c r="U34" s="18">
        <v>46.78</v>
      </c>
      <c r="V34" s="14">
        <v>1</v>
      </c>
      <c r="W34" s="18"/>
    </row>
    <row r="35" spans="1:23" x14ac:dyDescent="0.25">
      <c r="A35" s="12">
        <v>2025</v>
      </c>
      <c r="B35" s="3" t="s">
        <v>539</v>
      </c>
      <c r="C35" s="14" t="s">
        <v>118</v>
      </c>
      <c r="D35" s="14" t="s">
        <v>119</v>
      </c>
      <c r="E35" s="14" t="s">
        <v>120</v>
      </c>
      <c r="F35" s="15" t="s">
        <v>573</v>
      </c>
      <c r="G35" s="15">
        <v>506</v>
      </c>
      <c r="H35" s="14">
        <v>6</v>
      </c>
      <c r="I35" s="14">
        <v>5</v>
      </c>
      <c r="J35" s="14">
        <v>3</v>
      </c>
      <c r="K35" s="14">
        <v>4</v>
      </c>
      <c r="L35" s="17" t="s">
        <v>100</v>
      </c>
      <c r="M35" s="17" t="s">
        <v>603</v>
      </c>
      <c r="N35" s="18">
        <v>8.08</v>
      </c>
      <c r="O35" s="18">
        <v>16.7</v>
      </c>
      <c r="P35" s="18">
        <v>41.2</v>
      </c>
      <c r="Q35" s="27">
        <f t="shared" si="0"/>
        <v>7.6484545454545456</v>
      </c>
      <c r="R35" s="18">
        <v>5008.45</v>
      </c>
      <c r="S35" s="19">
        <f t="shared" si="1"/>
        <v>4467.8412132024978</v>
      </c>
      <c r="T35" s="18">
        <v>66.540000000000006</v>
      </c>
      <c r="U35" s="18">
        <v>35.909999999999997</v>
      </c>
      <c r="V35" s="14">
        <v>0</v>
      </c>
      <c r="W35" s="18"/>
    </row>
    <row r="36" spans="1:23" x14ac:dyDescent="0.25">
      <c r="A36" s="12">
        <v>2025</v>
      </c>
      <c r="B36" s="3" t="s">
        <v>539</v>
      </c>
      <c r="C36" s="14" t="s">
        <v>118</v>
      </c>
      <c r="D36" s="14" t="s">
        <v>119</v>
      </c>
      <c r="E36" s="14" t="s">
        <v>120</v>
      </c>
      <c r="F36" s="15" t="s">
        <v>574</v>
      </c>
      <c r="G36" s="15">
        <v>507</v>
      </c>
      <c r="H36" s="14">
        <v>7</v>
      </c>
      <c r="I36" s="14">
        <v>5</v>
      </c>
      <c r="J36" s="14">
        <v>3</v>
      </c>
      <c r="K36" s="14">
        <v>6</v>
      </c>
      <c r="L36" s="17" t="s">
        <v>339</v>
      </c>
      <c r="M36" s="17" t="s">
        <v>30</v>
      </c>
      <c r="N36" s="18">
        <v>6.36</v>
      </c>
      <c r="O36" s="18">
        <v>17.2</v>
      </c>
      <c r="P36" s="18">
        <v>40.9</v>
      </c>
      <c r="Q36" s="27">
        <f t="shared" si="0"/>
        <v>5.9841818181818187</v>
      </c>
      <c r="R36" s="18">
        <v>3918.63</v>
      </c>
      <c r="S36" s="19">
        <f t="shared" si="1"/>
        <v>3495.655664585192</v>
      </c>
      <c r="T36" s="18">
        <v>69.2</v>
      </c>
      <c r="U36" s="18">
        <v>60.12</v>
      </c>
      <c r="V36" s="14">
        <v>1</v>
      </c>
      <c r="W36" s="18"/>
    </row>
    <row r="37" spans="1:23" x14ac:dyDescent="0.25">
      <c r="A37" s="12">
        <v>2025</v>
      </c>
      <c r="B37" s="3" t="s">
        <v>539</v>
      </c>
      <c r="C37" s="14" t="s">
        <v>118</v>
      </c>
      <c r="D37" s="14" t="s">
        <v>119</v>
      </c>
      <c r="E37" s="14" t="s">
        <v>120</v>
      </c>
      <c r="F37" s="15" t="s">
        <v>575</v>
      </c>
      <c r="G37" s="15">
        <v>601</v>
      </c>
      <c r="H37" s="14">
        <v>1</v>
      </c>
      <c r="I37" s="14">
        <v>6</v>
      </c>
      <c r="J37" s="14">
        <v>1</v>
      </c>
      <c r="K37" s="14">
        <v>14</v>
      </c>
      <c r="L37" s="17" t="s">
        <v>336</v>
      </c>
      <c r="M37" s="17" t="s">
        <v>30</v>
      </c>
      <c r="N37" s="18">
        <v>10.39</v>
      </c>
      <c r="O37" s="18">
        <v>14.9</v>
      </c>
      <c r="P37" s="18">
        <v>42.2</v>
      </c>
      <c r="Q37" s="27">
        <f t="shared" si="0"/>
        <v>10.047602272727273</v>
      </c>
      <c r="R37" s="18">
        <v>6579.49</v>
      </c>
      <c r="S37" s="19">
        <f t="shared" si="1"/>
        <v>5869.3041926851029</v>
      </c>
      <c r="T37" s="18">
        <v>70.569999999999993</v>
      </c>
      <c r="U37" s="18">
        <v>50.15</v>
      </c>
      <c r="V37" s="14">
        <v>0</v>
      </c>
      <c r="W37" s="18"/>
    </row>
    <row r="38" spans="1:23" x14ac:dyDescent="0.25">
      <c r="A38" s="12">
        <v>2025</v>
      </c>
      <c r="B38" s="3" t="s">
        <v>539</v>
      </c>
      <c r="C38" s="14" t="s">
        <v>118</v>
      </c>
      <c r="D38" s="14" t="s">
        <v>119</v>
      </c>
      <c r="E38" s="14" t="s">
        <v>120</v>
      </c>
      <c r="F38" s="15" t="s">
        <v>576</v>
      </c>
      <c r="G38" s="15">
        <v>602</v>
      </c>
      <c r="H38" s="14">
        <v>2</v>
      </c>
      <c r="I38" s="14">
        <v>6</v>
      </c>
      <c r="J38" s="14">
        <v>1</v>
      </c>
      <c r="K38" s="14">
        <v>16</v>
      </c>
      <c r="L38" s="17" t="s">
        <v>336</v>
      </c>
      <c r="M38" s="17" t="s">
        <v>603</v>
      </c>
      <c r="N38" s="18">
        <v>11.71</v>
      </c>
      <c r="O38" s="18">
        <v>15.3</v>
      </c>
      <c r="P38" s="18">
        <v>42.2</v>
      </c>
      <c r="Q38" s="27">
        <f t="shared" si="0"/>
        <v>11.270875000000002</v>
      </c>
      <c r="R38" s="18">
        <v>7380.52</v>
      </c>
      <c r="S38" s="19">
        <f t="shared" si="1"/>
        <v>6583.8715432649424</v>
      </c>
      <c r="T38" s="18">
        <v>70.8</v>
      </c>
      <c r="U38" s="18">
        <v>52.11</v>
      </c>
      <c r="V38" s="14">
        <v>1</v>
      </c>
      <c r="W38" s="18"/>
    </row>
    <row r="39" spans="1:23" x14ac:dyDescent="0.25">
      <c r="A39" s="12">
        <v>2025</v>
      </c>
      <c r="B39" s="3" t="s">
        <v>539</v>
      </c>
      <c r="C39" s="14" t="s">
        <v>118</v>
      </c>
      <c r="D39" s="14" t="s">
        <v>119</v>
      </c>
      <c r="E39" s="14" t="s">
        <v>120</v>
      </c>
      <c r="F39" s="15" t="s">
        <v>577</v>
      </c>
      <c r="G39" s="15">
        <v>603</v>
      </c>
      <c r="H39" s="14">
        <v>3</v>
      </c>
      <c r="I39" s="14">
        <v>6</v>
      </c>
      <c r="J39" s="14">
        <v>2</v>
      </c>
      <c r="K39" s="14">
        <v>18</v>
      </c>
      <c r="L39" s="17" t="s">
        <v>42</v>
      </c>
      <c r="M39" s="17" t="s">
        <v>30</v>
      </c>
      <c r="N39" s="18">
        <v>8.1199999999999992</v>
      </c>
      <c r="O39" s="18">
        <v>16</v>
      </c>
      <c r="P39" s="18">
        <v>41.9</v>
      </c>
      <c r="Q39" s="27">
        <f t="shared" si="0"/>
        <v>7.7509090909090901</v>
      </c>
      <c r="R39" s="18">
        <v>5075.54</v>
      </c>
      <c r="S39" s="19">
        <f t="shared" si="1"/>
        <v>4527.6895628902766</v>
      </c>
      <c r="T39" s="18">
        <v>73.5</v>
      </c>
      <c r="U39" s="18">
        <v>61.57</v>
      </c>
      <c r="V39" s="14">
        <v>0</v>
      </c>
      <c r="W39" s="18"/>
    </row>
    <row r="40" spans="1:23" x14ac:dyDescent="0.25">
      <c r="A40" s="12">
        <v>2025</v>
      </c>
      <c r="B40" s="3" t="s">
        <v>539</v>
      </c>
      <c r="C40" s="14" t="s">
        <v>118</v>
      </c>
      <c r="D40" s="14" t="s">
        <v>119</v>
      </c>
      <c r="E40" s="14" t="s">
        <v>120</v>
      </c>
      <c r="F40" s="15" t="s">
        <v>578</v>
      </c>
      <c r="G40" s="15">
        <v>604</v>
      </c>
      <c r="H40" s="14">
        <v>4</v>
      </c>
      <c r="I40" s="14">
        <v>6</v>
      </c>
      <c r="J40" s="14">
        <v>2</v>
      </c>
      <c r="K40" s="14">
        <v>1</v>
      </c>
      <c r="L40" s="17" t="s">
        <v>100</v>
      </c>
      <c r="M40" s="17" t="s">
        <v>538</v>
      </c>
      <c r="N40" s="18">
        <v>6.3</v>
      </c>
      <c r="O40" s="18">
        <v>15.5</v>
      </c>
      <c r="P40" s="18">
        <v>41.6</v>
      </c>
      <c r="Q40" s="27">
        <f t="shared" si="0"/>
        <v>6.0494318181818185</v>
      </c>
      <c r="R40" s="18">
        <v>3961.36</v>
      </c>
      <c r="S40" s="19">
        <f t="shared" si="1"/>
        <v>3533.7734165923284</v>
      </c>
      <c r="T40" s="18">
        <v>64.66</v>
      </c>
      <c r="U40" s="18">
        <v>30.85</v>
      </c>
      <c r="V40" s="14">
        <v>1</v>
      </c>
      <c r="W40" s="18"/>
    </row>
    <row r="41" spans="1:23" x14ac:dyDescent="0.25">
      <c r="A41" s="12">
        <v>2025</v>
      </c>
      <c r="B41" s="3" t="s">
        <v>539</v>
      </c>
      <c r="C41" s="14" t="s">
        <v>118</v>
      </c>
      <c r="D41" s="14" t="s">
        <v>119</v>
      </c>
      <c r="E41" s="14" t="s">
        <v>120</v>
      </c>
      <c r="F41" s="15" t="s">
        <v>579</v>
      </c>
      <c r="G41" s="15">
        <v>605</v>
      </c>
      <c r="H41" s="14">
        <v>5</v>
      </c>
      <c r="I41" s="14">
        <v>6</v>
      </c>
      <c r="J41" s="14">
        <v>3</v>
      </c>
      <c r="K41" s="14">
        <v>7</v>
      </c>
      <c r="L41" s="17" t="s">
        <v>339</v>
      </c>
      <c r="M41" s="17" t="s">
        <v>53</v>
      </c>
      <c r="N41" s="18">
        <v>5.63</v>
      </c>
      <c r="O41" s="18">
        <v>19.899999999999999</v>
      </c>
      <c r="P41" s="18">
        <v>40.1</v>
      </c>
      <c r="Q41" s="27">
        <f t="shared" si="0"/>
        <v>5.1245795454545462</v>
      </c>
      <c r="R41" s="18">
        <v>3355.74</v>
      </c>
      <c r="S41" s="19">
        <f t="shared" si="1"/>
        <v>2993.5236396074934</v>
      </c>
      <c r="T41" s="18">
        <v>69.489999999999995</v>
      </c>
      <c r="U41" s="18">
        <v>60.84</v>
      </c>
      <c r="V41" s="14">
        <v>2</v>
      </c>
      <c r="W41" s="18"/>
    </row>
    <row r="42" spans="1:23" x14ac:dyDescent="0.25">
      <c r="A42" s="12">
        <v>2025</v>
      </c>
      <c r="B42" s="3" t="s">
        <v>539</v>
      </c>
      <c r="C42" s="14" t="s">
        <v>118</v>
      </c>
      <c r="D42" s="14" t="s">
        <v>119</v>
      </c>
      <c r="E42" s="14" t="s">
        <v>120</v>
      </c>
      <c r="F42" s="15" t="s">
        <v>580</v>
      </c>
      <c r="G42" s="15">
        <v>606</v>
      </c>
      <c r="H42" s="14">
        <v>6</v>
      </c>
      <c r="I42" s="14">
        <v>6</v>
      </c>
      <c r="J42" s="14">
        <v>3</v>
      </c>
      <c r="K42" s="14">
        <v>10</v>
      </c>
      <c r="L42" s="17" t="s">
        <v>69</v>
      </c>
      <c r="M42" s="17" t="s">
        <v>30</v>
      </c>
      <c r="N42" s="18">
        <v>7.63</v>
      </c>
      <c r="O42" s="18">
        <v>14.4</v>
      </c>
      <c r="P42" s="18">
        <v>42.7</v>
      </c>
      <c r="Q42" s="27">
        <f t="shared" si="0"/>
        <v>7.4219090909090903</v>
      </c>
      <c r="R42" s="18">
        <v>4860.1000000000004</v>
      </c>
      <c r="S42" s="19">
        <f t="shared" si="1"/>
        <v>4335.5040142729713</v>
      </c>
      <c r="T42" s="18">
        <v>67.28</v>
      </c>
      <c r="U42" s="18">
        <v>42.18</v>
      </c>
      <c r="V42" s="14">
        <v>0</v>
      </c>
      <c r="W42" s="18"/>
    </row>
    <row r="43" spans="1:23" x14ac:dyDescent="0.25">
      <c r="A43" s="12">
        <v>2025</v>
      </c>
      <c r="B43" s="3" t="s">
        <v>539</v>
      </c>
      <c r="C43" s="14" t="s">
        <v>118</v>
      </c>
      <c r="D43" s="14" t="s">
        <v>119</v>
      </c>
      <c r="E43" s="14" t="s">
        <v>120</v>
      </c>
      <c r="F43" s="15" t="s">
        <v>581</v>
      </c>
      <c r="G43" s="15">
        <v>607</v>
      </c>
      <c r="H43" s="14">
        <v>7</v>
      </c>
      <c r="I43" s="14">
        <v>6</v>
      </c>
      <c r="J43" s="14">
        <v>3</v>
      </c>
      <c r="K43" s="14">
        <v>8</v>
      </c>
      <c r="L43" s="17" t="s">
        <v>339</v>
      </c>
      <c r="M43" s="17" t="s">
        <v>603</v>
      </c>
      <c r="N43" s="18">
        <v>5.55</v>
      </c>
      <c r="O43" s="18">
        <v>18.100000000000001</v>
      </c>
      <c r="P43" s="18">
        <v>40.700000000000003</v>
      </c>
      <c r="Q43" s="27">
        <f t="shared" si="0"/>
        <v>5.1652840909090907</v>
      </c>
      <c r="R43" s="18">
        <v>3382.39</v>
      </c>
      <c r="S43" s="19">
        <f t="shared" si="1"/>
        <v>3017.2970561998213</v>
      </c>
      <c r="T43" s="18">
        <v>68.83</v>
      </c>
      <c r="U43" s="18">
        <v>61.25</v>
      </c>
      <c r="V43" s="14">
        <v>1</v>
      </c>
      <c r="W43" s="18"/>
    </row>
    <row r="44" spans="1:23" x14ac:dyDescent="0.25">
      <c r="A44" s="12">
        <v>2025</v>
      </c>
      <c r="B44" s="3" t="s">
        <v>539</v>
      </c>
      <c r="C44" s="14" t="s">
        <v>118</v>
      </c>
      <c r="D44" s="14" t="s">
        <v>119</v>
      </c>
      <c r="E44" s="14" t="s">
        <v>120</v>
      </c>
      <c r="F44" s="15" t="s">
        <v>582</v>
      </c>
      <c r="G44" s="15">
        <v>701</v>
      </c>
      <c r="H44" s="14">
        <v>1</v>
      </c>
      <c r="I44" s="14">
        <v>7</v>
      </c>
      <c r="J44" s="14">
        <v>1</v>
      </c>
      <c r="K44" s="14">
        <v>8</v>
      </c>
      <c r="L44" s="17" t="s">
        <v>339</v>
      </c>
      <c r="M44" s="17" t="s">
        <v>603</v>
      </c>
      <c r="N44" s="18">
        <v>5.49</v>
      </c>
      <c r="O44" s="18">
        <v>17.8</v>
      </c>
      <c r="P44" s="18">
        <v>40.799999999999997</v>
      </c>
      <c r="Q44" s="27">
        <f t="shared" si="0"/>
        <v>5.1281590909090911</v>
      </c>
      <c r="R44" s="18">
        <v>3358.08</v>
      </c>
      <c r="S44" s="19">
        <f t="shared" si="1"/>
        <v>2995.6110615521857</v>
      </c>
      <c r="T44" s="18">
        <v>69.03</v>
      </c>
      <c r="U44" s="18">
        <v>61.71</v>
      </c>
      <c r="V44" s="14">
        <v>1</v>
      </c>
      <c r="W44" s="18"/>
    </row>
    <row r="45" spans="1:23" x14ac:dyDescent="0.25">
      <c r="A45" s="12">
        <v>2025</v>
      </c>
      <c r="B45" s="3" t="s">
        <v>539</v>
      </c>
      <c r="C45" s="14" t="s">
        <v>118</v>
      </c>
      <c r="D45" s="14" t="s">
        <v>119</v>
      </c>
      <c r="E45" s="14" t="s">
        <v>120</v>
      </c>
      <c r="F45" s="15" t="s">
        <v>583</v>
      </c>
      <c r="G45" s="15">
        <v>702</v>
      </c>
      <c r="H45" s="14">
        <v>2</v>
      </c>
      <c r="I45" s="14">
        <v>7</v>
      </c>
      <c r="J45" s="14">
        <v>1</v>
      </c>
      <c r="K45" s="14">
        <v>19</v>
      </c>
      <c r="L45" s="17" t="s">
        <v>42</v>
      </c>
      <c r="M45" s="17" t="s">
        <v>53</v>
      </c>
      <c r="N45" s="18">
        <v>7.04</v>
      </c>
      <c r="O45" s="18">
        <v>14.8</v>
      </c>
      <c r="P45" s="18">
        <v>42.1</v>
      </c>
      <c r="Q45" s="27">
        <f t="shared" si="0"/>
        <v>6.8159999999999998</v>
      </c>
      <c r="R45" s="18">
        <v>4463.33</v>
      </c>
      <c r="S45" s="19">
        <f t="shared" si="1"/>
        <v>3981.5611061552186</v>
      </c>
      <c r="T45" s="18">
        <v>70.83</v>
      </c>
      <c r="U45" s="18">
        <v>55.53</v>
      </c>
      <c r="V45" s="14">
        <v>0</v>
      </c>
      <c r="W45" s="18"/>
    </row>
    <row r="46" spans="1:23" x14ac:dyDescent="0.25">
      <c r="A46" s="12">
        <v>2025</v>
      </c>
      <c r="B46" s="3" t="s">
        <v>539</v>
      </c>
      <c r="C46" s="14" t="s">
        <v>118</v>
      </c>
      <c r="D46" s="14" t="s">
        <v>119</v>
      </c>
      <c r="E46" s="14" t="s">
        <v>120</v>
      </c>
      <c r="F46" s="15" t="s">
        <v>584</v>
      </c>
      <c r="G46" s="15">
        <v>703</v>
      </c>
      <c r="H46" s="14">
        <v>3</v>
      </c>
      <c r="I46" s="14">
        <v>7</v>
      </c>
      <c r="J46" s="14">
        <v>2</v>
      </c>
      <c r="K46" s="14">
        <v>17</v>
      </c>
      <c r="L46" s="17" t="s">
        <v>42</v>
      </c>
      <c r="M46" s="17" t="s">
        <v>538</v>
      </c>
      <c r="N46" s="18">
        <v>7.74</v>
      </c>
      <c r="O46" s="18">
        <v>15.5</v>
      </c>
      <c r="P46" s="18">
        <v>42.1</v>
      </c>
      <c r="Q46" s="27">
        <f t="shared" si="0"/>
        <v>7.4321590909090913</v>
      </c>
      <c r="R46" s="18">
        <v>4866.8100000000004</v>
      </c>
      <c r="S46" s="19">
        <f t="shared" si="1"/>
        <v>4341.4897413024091</v>
      </c>
      <c r="T46" s="18">
        <v>72.400000000000006</v>
      </c>
      <c r="U46" s="18">
        <v>59.3</v>
      </c>
      <c r="V46" s="14">
        <v>0</v>
      </c>
      <c r="W46" s="18"/>
    </row>
    <row r="47" spans="1:23" x14ac:dyDescent="0.25">
      <c r="A47" s="12">
        <v>2025</v>
      </c>
      <c r="B47" s="3" t="s">
        <v>539</v>
      </c>
      <c r="C47" s="14" t="s">
        <v>118</v>
      </c>
      <c r="D47" s="14" t="s">
        <v>119</v>
      </c>
      <c r="E47" s="14" t="s">
        <v>120</v>
      </c>
      <c r="F47" s="15" t="s">
        <v>585</v>
      </c>
      <c r="G47" s="15">
        <v>704</v>
      </c>
      <c r="H47" s="14">
        <v>4</v>
      </c>
      <c r="I47" s="14">
        <v>7</v>
      </c>
      <c r="J47" s="14">
        <v>2</v>
      </c>
      <c r="K47" s="14">
        <v>7</v>
      </c>
      <c r="L47" s="17" t="s">
        <v>339</v>
      </c>
      <c r="M47" s="17" t="s">
        <v>53</v>
      </c>
      <c r="N47" s="18">
        <v>6.05</v>
      </c>
      <c r="O47" s="18">
        <v>18.2</v>
      </c>
      <c r="P47" s="18">
        <v>40.700000000000003</v>
      </c>
      <c r="Q47" s="27">
        <f t="shared" si="0"/>
        <v>5.6237500000000002</v>
      </c>
      <c r="R47" s="18">
        <v>3682.61</v>
      </c>
      <c r="S47" s="19">
        <f t="shared" si="1"/>
        <v>3285.1115075825155</v>
      </c>
      <c r="T47" s="18">
        <v>69.38</v>
      </c>
      <c r="U47" s="18">
        <v>62.17</v>
      </c>
      <c r="V47" s="14">
        <v>1</v>
      </c>
      <c r="W47" s="18"/>
    </row>
    <row r="48" spans="1:23" x14ac:dyDescent="0.25">
      <c r="A48" s="12">
        <v>2025</v>
      </c>
      <c r="B48" s="3" t="s">
        <v>539</v>
      </c>
      <c r="C48" s="14" t="s">
        <v>118</v>
      </c>
      <c r="D48" s="14" t="s">
        <v>119</v>
      </c>
      <c r="E48" s="14" t="s">
        <v>120</v>
      </c>
      <c r="F48" s="15" t="s">
        <v>586</v>
      </c>
      <c r="G48" s="15">
        <v>705</v>
      </c>
      <c r="H48" s="14">
        <v>5</v>
      </c>
      <c r="I48" s="14">
        <v>7</v>
      </c>
      <c r="J48" s="14">
        <v>3</v>
      </c>
      <c r="K48" s="14">
        <v>5</v>
      </c>
      <c r="L48" s="17" t="s">
        <v>339</v>
      </c>
      <c r="M48" s="17" t="s">
        <v>538</v>
      </c>
      <c r="N48" s="18">
        <v>6.8</v>
      </c>
      <c r="O48" s="18">
        <v>22.4</v>
      </c>
      <c r="P48" s="18">
        <v>39.4</v>
      </c>
      <c r="Q48" s="27">
        <f t="shared" si="0"/>
        <v>5.9963636363636361</v>
      </c>
      <c r="R48" s="18">
        <v>3926.61</v>
      </c>
      <c r="S48" s="19">
        <f t="shared" si="1"/>
        <v>3502.7743086529886</v>
      </c>
      <c r="T48" s="18">
        <v>69.010000000000005</v>
      </c>
      <c r="U48" s="18">
        <v>62.42</v>
      </c>
      <c r="V48" s="14">
        <v>0</v>
      </c>
      <c r="W48" s="18"/>
    </row>
    <row r="49" spans="1:23" x14ac:dyDescent="0.25">
      <c r="A49" s="12">
        <v>2025</v>
      </c>
      <c r="B49" s="3" t="s">
        <v>539</v>
      </c>
      <c r="C49" s="14" t="s">
        <v>118</v>
      </c>
      <c r="D49" s="14" t="s">
        <v>119</v>
      </c>
      <c r="E49" s="14" t="s">
        <v>120</v>
      </c>
      <c r="F49" s="15" t="s">
        <v>587</v>
      </c>
      <c r="G49" s="15">
        <v>706</v>
      </c>
      <c r="H49" s="14">
        <v>6</v>
      </c>
      <c r="I49" s="14">
        <v>7</v>
      </c>
      <c r="J49" s="14">
        <v>3</v>
      </c>
      <c r="K49" s="14">
        <v>2</v>
      </c>
      <c r="L49" s="17" t="s">
        <v>100</v>
      </c>
      <c r="M49" s="17" t="s">
        <v>30</v>
      </c>
      <c r="N49" s="18">
        <v>6.82</v>
      </c>
      <c r="O49" s="18">
        <v>15.7</v>
      </c>
      <c r="P49" s="18">
        <v>41.6</v>
      </c>
      <c r="Q49" s="27">
        <f t="shared" si="0"/>
        <v>6.5332500000000007</v>
      </c>
      <c r="R49" s="18">
        <v>4278.18</v>
      </c>
      <c r="S49" s="19">
        <f t="shared" si="1"/>
        <v>3816.3960749330959</v>
      </c>
      <c r="T49" s="18">
        <v>63.28</v>
      </c>
      <c r="U49" s="18">
        <v>29.24</v>
      </c>
      <c r="V49" s="14">
        <v>1</v>
      </c>
      <c r="W49" s="18"/>
    </row>
    <row r="50" spans="1:23" x14ac:dyDescent="0.25">
      <c r="A50" s="12">
        <v>2025</v>
      </c>
      <c r="B50" s="3" t="s">
        <v>539</v>
      </c>
      <c r="C50" s="14" t="s">
        <v>118</v>
      </c>
      <c r="D50" s="14" t="s">
        <v>119</v>
      </c>
      <c r="E50" s="14" t="s">
        <v>120</v>
      </c>
      <c r="F50" s="15" t="s">
        <v>588</v>
      </c>
      <c r="G50" s="15">
        <v>707</v>
      </c>
      <c r="H50" s="14">
        <v>7</v>
      </c>
      <c r="I50" s="14">
        <v>7</v>
      </c>
      <c r="J50" s="14" t="s">
        <v>268</v>
      </c>
      <c r="K50" s="14" t="s">
        <v>268</v>
      </c>
      <c r="L50" s="17" t="s">
        <v>269</v>
      </c>
      <c r="M50" s="17" t="s">
        <v>604</v>
      </c>
      <c r="N50" s="18">
        <v>3.11</v>
      </c>
      <c r="O50" s="18">
        <v>16.3</v>
      </c>
      <c r="P50" s="18">
        <v>41.6</v>
      </c>
      <c r="Q50" s="27">
        <f t="shared" si="0"/>
        <v>2.9580340909090905</v>
      </c>
      <c r="R50" s="18">
        <v>1937.01</v>
      </c>
      <c r="S50" s="19">
        <f t="shared" si="1"/>
        <v>1727.9304192685101</v>
      </c>
      <c r="T50" s="18">
        <v>69.349999999999994</v>
      </c>
      <c r="U50" s="18">
        <v>49.15</v>
      </c>
      <c r="V50" s="14"/>
      <c r="W50" s="18"/>
    </row>
    <row r="51" spans="1:23" x14ac:dyDescent="0.25">
      <c r="A51" s="12">
        <v>2025</v>
      </c>
      <c r="B51" s="3" t="s">
        <v>539</v>
      </c>
      <c r="C51" s="14" t="s">
        <v>118</v>
      </c>
      <c r="D51" s="14" t="s">
        <v>119</v>
      </c>
      <c r="E51" s="14" t="s">
        <v>120</v>
      </c>
      <c r="F51" s="15" t="s">
        <v>589</v>
      </c>
      <c r="G51" s="15">
        <v>801</v>
      </c>
      <c r="H51" s="14">
        <v>1</v>
      </c>
      <c r="I51" s="14">
        <v>8</v>
      </c>
      <c r="J51" s="14">
        <v>1</v>
      </c>
      <c r="K51" s="14">
        <v>7</v>
      </c>
      <c r="L51" s="17" t="s">
        <v>339</v>
      </c>
      <c r="M51" s="17" t="s">
        <v>53</v>
      </c>
      <c r="N51" s="18">
        <v>6.34</v>
      </c>
      <c r="O51" s="18">
        <v>19.899999999999999</v>
      </c>
      <c r="P51" s="18">
        <v>39.700000000000003</v>
      </c>
      <c r="Q51" s="27">
        <f t="shared" si="0"/>
        <v>5.770840909090909</v>
      </c>
      <c r="R51" s="18">
        <v>3778.93</v>
      </c>
      <c r="S51" s="19">
        <f t="shared" si="1"/>
        <v>3371.0347903657448</v>
      </c>
      <c r="T51" s="18">
        <v>70.099999999999994</v>
      </c>
      <c r="U51" s="18">
        <v>63.47</v>
      </c>
      <c r="V51" s="14">
        <v>1</v>
      </c>
      <c r="W51" s="18"/>
    </row>
    <row r="52" spans="1:23" x14ac:dyDescent="0.25">
      <c r="A52" s="12">
        <v>2025</v>
      </c>
      <c r="B52" s="3" t="s">
        <v>539</v>
      </c>
      <c r="C52" s="14" t="s">
        <v>118</v>
      </c>
      <c r="D52" s="14" t="s">
        <v>119</v>
      </c>
      <c r="E52" s="14" t="s">
        <v>120</v>
      </c>
      <c r="F52" s="15" t="s">
        <v>590</v>
      </c>
      <c r="G52" s="15">
        <v>802</v>
      </c>
      <c r="H52" s="14">
        <v>2</v>
      </c>
      <c r="I52" s="14">
        <v>8</v>
      </c>
      <c r="J52" s="14">
        <v>1</v>
      </c>
      <c r="K52" s="14">
        <v>20</v>
      </c>
      <c r="L52" s="17" t="s">
        <v>42</v>
      </c>
      <c r="M52" s="17" t="s">
        <v>603</v>
      </c>
      <c r="N52" s="18">
        <v>6.67</v>
      </c>
      <c r="O52" s="18">
        <v>15.2</v>
      </c>
      <c r="P52" s="18">
        <v>41.8</v>
      </c>
      <c r="Q52" s="27">
        <f t="shared" si="0"/>
        <v>6.4274545454545455</v>
      </c>
      <c r="R52" s="18">
        <v>4208.8999999999996</v>
      </c>
      <c r="S52" s="19">
        <f t="shared" si="1"/>
        <v>3754.5941123996427</v>
      </c>
      <c r="T52" s="18">
        <v>72.34</v>
      </c>
      <c r="U52" s="18">
        <v>58.99</v>
      </c>
      <c r="V52" s="14">
        <v>1</v>
      </c>
      <c r="W52" s="18"/>
    </row>
    <row r="53" spans="1:23" x14ac:dyDescent="0.25">
      <c r="A53" s="12">
        <v>2025</v>
      </c>
      <c r="B53" s="3" t="s">
        <v>539</v>
      </c>
      <c r="C53" s="14" t="s">
        <v>118</v>
      </c>
      <c r="D53" s="14" t="s">
        <v>119</v>
      </c>
      <c r="E53" s="14" t="s">
        <v>120</v>
      </c>
      <c r="F53" s="15" t="s">
        <v>591</v>
      </c>
      <c r="G53" s="15">
        <v>803</v>
      </c>
      <c r="H53" s="14">
        <v>3</v>
      </c>
      <c r="I53" s="14">
        <v>8</v>
      </c>
      <c r="J53" s="14">
        <v>2</v>
      </c>
      <c r="K53" s="14">
        <v>12</v>
      </c>
      <c r="L53" s="17" t="s">
        <v>69</v>
      </c>
      <c r="M53" s="17" t="s">
        <v>603</v>
      </c>
      <c r="N53" s="18">
        <v>8.01</v>
      </c>
      <c r="O53" s="18">
        <v>16</v>
      </c>
      <c r="P53" s="18">
        <v>41.9</v>
      </c>
      <c r="Q53" s="27">
        <f t="shared" si="0"/>
        <v>7.6459090909090905</v>
      </c>
      <c r="R53" s="18">
        <v>5006.78</v>
      </c>
      <c r="S53" s="19">
        <f t="shared" si="1"/>
        <v>4466.3514719000887</v>
      </c>
      <c r="T53" s="18">
        <v>70.91</v>
      </c>
      <c r="U53" s="18">
        <v>54.67</v>
      </c>
      <c r="V53" s="14">
        <v>1</v>
      </c>
      <c r="W53" s="18"/>
    </row>
    <row r="54" spans="1:23" x14ac:dyDescent="0.25">
      <c r="A54" s="12">
        <v>2025</v>
      </c>
      <c r="B54" s="3" t="s">
        <v>539</v>
      </c>
      <c r="C54" s="14" t="s">
        <v>118</v>
      </c>
      <c r="D54" s="14" t="s">
        <v>119</v>
      </c>
      <c r="E54" s="14" t="s">
        <v>120</v>
      </c>
      <c r="F54" s="15" t="s">
        <v>592</v>
      </c>
      <c r="G54" s="15">
        <v>804</v>
      </c>
      <c r="H54" s="14">
        <v>4</v>
      </c>
      <c r="I54" s="14">
        <v>8</v>
      </c>
      <c r="J54" s="14">
        <v>2</v>
      </c>
      <c r="K54" s="14">
        <v>9</v>
      </c>
      <c r="L54" s="17" t="s">
        <v>69</v>
      </c>
      <c r="M54" s="17" t="s">
        <v>538</v>
      </c>
      <c r="N54" s="18">
        <v>8.2899999999999991</v>
      </c>
      <c r="O54" s="18">
        <v>15.7</v>
      </c>
      <c r="P54" s="18">
        <v>42</v>
      </c>
      <c r="Q54" s="27">
        <f t="shared" si="0"/>
        <v>7.9414431818181805</v>
      </c>
      <c r="R54" s="18">
        <v>5200.3100000000004</v>
      </c>
      <c r="S54" s="19">
        <f t="shared" si="1"/>
        <v>4638.9919714540592</v>
      </c>
      <c r="T54" s="18">
        <v>69.22</v>
      </c>
      <c r="U54" s="18">
        <v>49.32</v>
      </c>
      <c r="V54" s="14">
        <v>1</v>
      </c>
      <c r="W54" s="18"/>
    </row>
    <row r="55" spans="1:23" x14ac:dyDescent="0.25">
      <c r="A55" s="12">
        <v>2025</v>
      </c>
      <c r="B55" s="3" t="s">
        <v>539</v>
      </c>
      <c r="C55" s="14" t="s">
        <v>118</v>
      </c>
      <c r="D55" s="14" t="s">
        <v>119</v>
      </c>
      <c r="E55" s="14" t="s">
        <v>120</v>
      </c>
      <c r="F55" s="15" t="s">
        <v>593</v>
      </c>
      <c r="G55" s="15">
        <v>805</v>
      </c>
      <c r="H55" s="14">
        <v>5</v>
      </c>
      <c r="I55" s="14">
        <v>8</v>
      </c>
      <c r="J55" s="14">
        <v>3</v>
      </c>
      <c r="K55" s="14">
        <v>14</v>
      </c>
      <c r="L55" s="17" t="s">
        <v>336</v>
      </c>
      <c r="M55" s="17" t="s">
        <v>30</v>
      </c>
      <c r="N55" s="18">
        <v>10.44</v>
      </c>
      <c r="O55" s="18">
        <v>15.1</v>
      </c>
      <c r="P55" s="18">
        <v>42.3</v>
      </c>
      <c r="Q55" s="27">
        <f t="shared" si="0"/>
        <v>10.072227272727272</v>
      </c>
      <c r="R55" s="18">
        <v>6595.61</v>
      </c>
      <c r="S55" s="19">
        <f t="shared" si="1"/>
        <v>5883.6842105263158</v>
      </c>
      <c r="T55" s="18">
        <v>70.94</v>
      </c>
      <c r="U55" s="18">
        <v>48.06</v>
      </c>
      <c r="V55" s="14">
        <v>0</v>
      </c>
      <c r="W55" s="18"/>
    </row>
    <row r="56" spans="1:23" x14ac:dyDescent="0.25">
      <c r="A56" s="12">
        <v>2025</v>
      </c>
      <c r="B56" s="3" t="s">
        <v>539</v>
      </c>
      <c r="C56" s="14" t="s">
        <v>118</v>
      </c>
      <c r="D56" s="14" t="s">
        <v>119</v>
      </c>
      <c r="E56" s="14" t="s">
        <v>120</v>
      </c>
      <c r="F56" s="15" t="s">
        <v>594</v>
      </c>
      <c r="G56" s="15">
        <v>806</v>
      </c>
      <c r="H56" s="14">
        <v>6</v>
      </c>
      <c r="I56" s="14">
        <v>8</v>
      </c>
      <c r="J56" s="14">
        <v>3</v>
      </c>
      <c r="K56" s="14">
        <v>1</v>
      </c>
      <c r="L56" s="17" t="s">
        <v>100</v>
      </c>
      <c r="M56" s="17" t="s">
        <v>538</v>
      </c>
      <c r="N56" s="18">
        <v>6.88</v>
      </c>
      <c r="O56" s="18">
        <v>14.4</v>
      </c>
      <c r="P56" s="18">
        <v>42.3</v>
      </c>
      <c r="Q56" s="27">
        <f t="shared" si="0"/>
        <v>6.6923636363636358</v>
      </c>
      <c r="R56" s="18">
        <v>4382.37</v>
      </c>
      <c r="S56" s="19">
        <f t="shared" si="1"/>
        <v>3909.3398751115074</v>
      </c>
      <c r="T56" s="18">
        <v>65.56</v>
      </c>
      <c r="U56" s="18">
        <v>31.81</v>
      </c>
      <c r="V56" s="14">
        <v>1</v>
      </c>
      <c r="W56" s="18"/>
    </row>
    <row r="57" spans="1:23" x14ac:dyDescent="0.25">
      <c r="A57" s="12">
        <v>2025</v>
      </c>
      <c r="B57" s="3" t="s">
        <v>539</v>
      </c>
      <c r="C57" s="14" t="s">
        <v>118</v>
      </c>
      <c r="D57" s="14" t="s">
        <v>119</v>
      </c>
      <c r="E57" s="14" t="s">
        <v>120</v>
      </c>
      <c r="F57" s="15" t="s">
        <v>595</v>
      </c>
      <c r="G57" s="15">
        <v>807</v>
      </c>
      <c r="H57" s="14">
        <v>7</v>
      </c>
      <c r="I57" s="14">
        <v>8</v>
      </c>
      <c r="J57" s="14" t="s">
        <v>268</v>
      </c>
      <c r="K57" s="14" t="s">
        <v>268</v>
      </c>
      <c r="L57" s="17" t="s">
        <v>269</v>
      </c>
      <c r="M57" s="17" t="s">
        <v>604</v>
      </c>
      <c r="N57" s="18">
        <v>3.37</v>
      </c>
      <c r="O57" s="18">
        <v>16.7</v>
      </c>
      <c r="P57" s="18">
        <v>41.2</v>
      </c>
      <c r="Q57" s="27">
        <f t="shared" si="0"/>
        <v>3.1900113636363634</v>
      </c>
      <c r="R57" s="18">
        <v>2088.92</v>
      </c>
      <c r="S57" s="19">
        <f t="shared" si="1"/>
        <v>1863.4433541480821</v>
      </c>
      <c r="T57" s="18">
        <v>70.02</v>
      </c>
      <c r="U57" s="18">
        <v>51.14</v>
      </c>
      <c r="V57" s="14"/>
      <c r="W57" s="18"/>
    </row>
    <row r="58" spans="1:23" x14ac:dyDescent="0.25">
      <c r="A58" s="12">
        <v>2025</v>
      </c>
      <c r="B58" s="3" t="s">
        <v>539</v>
      </c>
      <c r="C58" s="14" t="s">
        <v>118</v>
      </c>
      <c r="D58" s="14" t="s">
        <v>119</v>
      </c>
      <c r="E58" s="14" t="s">
        <v>120</v>
      </c>
      <c r="F58" s="15" t="s">
        <v>596</v>
      </c>
      <c r="G58" s="15">
        <v>901</v>
      </c>
      <c r="H58" s="14">
        <v>1</v>
      </c>
      <c r="I58" s="14">
        <v>9</v>
      </c>
      <c r="J58" s="14">
        <v>1</v>
      </c>
      <c r="K58" s="14">
        <v>18</v>
      </c>
      <c r="L58" s="17" t="s">
        <v>42</v>
      </c>
      <c r="M58" s="17" t="s">
        <v>30</v>
      </c>
      <c r="N58" s="18">
        <v>6.75</v>
      </c>
      <c r="O58" s="18">
        <v>15.2</v>
      </c>
      <c r="P58" s="18">
        <v>41.9</v>
      </c>
      <c r="Q58" s="27">
        <f t="shared" si="0"/>
        <v>6.5045454545454549</v>
      </c>
      <c r="R58" s="18">
        <v>4259.38</v>
      </c>
      <c r="S58" s="19">
        <f t="shared" si="1"/>
        <v>3799.6253345227478</v>
      </c>
      <c r="T58" s="18">
        <v>72.63</v>
      </c>
      <c r="U58" s="18">
        <v>61.1</v>
      </c>
      <c r="V58" s="14">
        <v>1</v>
      </c>
      <c r="W58" s="18"/>
    </row>
    <row r="59" spans="1:23" x14ac:dyDescent="0.25">
      <c r="A59" s="12">
        <v>2025</v>
      </c>
      <c r="B59" s="3" t="s">
        <v>539</v>
      </c>
      <c r="C59" s="14" t="s">
        <v>118</v>
      </c>
      <c r="D59" s="14" t="s">
        <v>119</v>
      </c>
      <c r="E59" s="14" t="s">
        <v>120</v>
      </c>
      <c r="F59" s="15" t="s">
        <v>597</v>
      </c>
      <c r="G59" s="15">
        <v>902</v>
      </c>
      <c r="H59" s="14">
        <v>2</v>
      </c>
      <c r="I59" s="14">
        <v>9</v>
      </c>
      <c r="J59" s="14">
        <v>1</v>
      </c>
      <c r="K59" s="14">
        <v>3</v>
      </c>
      <c r="L59" s="17" t="s">
        <v>100</v>
      </c>
      <c r="M59" s="17" t="s">
        <v>53</v>
      </c>
      <c r="N59" s="18">
        <v>6.47</v>
      </c>
      <c r="O59" s="18">
        <v>16.600000000000001</v>
      </c>
      <c r="P59" s="18">
        <v>41</v>
      </c>
      <c r="Q59" s="27">
        <f t="shared" si="0"/>
        <v>6.131795454545454</v>
      </c>
      <c r="R59" s="18">
        <v>4015.29</v>
      </c>
      <c r="S59" s="19">
        <f t="shared" si="1"/>
        <v>3581.8822479928635</v>
      </c>
      <c r="T59" s="18">
        <v>65.89</v>
      </c>
      <c r="U59" s="18">
        <v>41.21</v>
      </c>
      <c r="V59" s="14">
        <v>1</v>
      </c>
      <c r="W59" s="18"/>
    </row>
    <row r="60" spans="1:23" x14ac:dyDescent="0.25">
      <c r="A60" s="12">
        <v>2025</v>
      </c>
      <c r="B60" s="3" t="s">
        <v>539</v>
      </c>
      <c r="C60" s="14" t="s">
        <v>118</v>
      </c>
      <c r="D60" s="14" t="s">
        <v>119</v>
      </c>
      <c r="E60" s="14" t="s">
        <v>120</v>
      </c>
      <c r="F60" s="15" t="s">
        <v>598</v>
      </c>
      <c r="G60" s="15">
        <v>903</v>
      </c>
      <c r="H60" s="14">
        <v>3</v>
      </c>
      <c r="I60" s="14">
        <v>9</v>
      </c>
      <c r="J60" s="14">
        <v>2</v>
      </c>
      <c r="K60" s="14">
        <v>2</v>
      </c>
      <c r="L60" s="17" t="s">
        <v>100</v>
      </c>
      <c r="M60" s="17" t="s">
        <v>30</v>
      </c>
      <c r="N60" s="18">
        <v>7.4</v>
      </c>
      <c r="O60" s="18">
        <v>17.3</v>
      </c>
      <c r="P60" s="18">
        <v>40.9</v>
      </c>
      <c r="Q60" s="27">
        <f t="shared" si="0"/>
        <v>6.9543181818181816</v>
      </c>
      <c r="R60" s="18">
        <v>4553.91</v>
      </c>
      <c r="S60" s="19">
        <f t="shared" si="1"/>
        <v>4062.363960749331</v>
      </c>
      <c r="T60" s="18">
        <v>66.88</v>
      </c>
      <c r="U60" s="18">
        <v>41.94</v>
      </c>
      <c r="V60" s="14">
        <v>0</v>
      </c>
      <c r="W60" s="18"/>
    </row>
    <row r="61" spans="1:23" x14ac:dyDescent="0.25">
      <c r="A61" s="12">
        <v>2025</v>
      </c>
      <c r="B61" s="3" t="s">
        <v>539</v>
      </c>
      <c r="C61" s="14" t="s">
        <v>118</v>
      </c>
      <c r="D61" s="14" t="s">
        <v>119</v>
      </c>
      <c r="E61" s="14" t="s">
        <v>120</v>
      </c>
      <c r="F61" s="15" t="s">
        <v>599</v>
      </c>
      <c r="G61" s="15">
        <v>904</v>
      </c>
      <c r="H61" s="14">
        <v>4</v>
      </c>
      <c r="I61" s="14">
        <v>9</v>
      </c>
      <c r="J61" s="14">
        <v>2</v>
      </c>
      <c r="K61" s="14">
        <v>4</v>
      </c>
      <c r="L61" s="17" t="s">
        <v>100</v>
      </c>
      <c r="M61" s="17" t="s">
        <v>603</v>
      </c>
      <c r="N61" s="18">
        <v>7.36</v>
      </c>
      <c r="O61" s="18">
        <v>15.5</v>
      </c>
      <c r="P61" s="18">
        <v>41.7</v>
      </c>
      <c r="Q61" s="27">
        <f t="shared" si="0"/>
        <v>7.0672727272727274</v>
      </c>
      <c r="R61" s="18">
        <v>4627.87</v>
      </c>
      <c r="S61" s="19">
        <f t="shared" si="1"/>
        <v>4128.3407671721679</v>
      </c>
      <c r="T61" s="18">
        <v>65.38</v>
      </c>
      <c r="U61" s="18">
        <v>37.119999999999997</v>
      </c>
      <c r="V61" s="14">
        <v>2</v>
      </c>
      <c r="W61" s="18"/>
    </row>
    <row r="62" spans="1:23" x14ac:dyDescent="0.25">
      <c r="A62" s="12">
        <v>2025</v>
      </c>
      <c r="B62" s="3" t="s">
        <v>539</v>
      </c>
      <c r="C62" s="14" t="s">
        <v>118</v>
      </c>
      <c r="D62" s="14" t="s">
        <v>119</v>
      </c>
      <c r="E62" s="14" t="s">
        <v>120</v>
      </c>
      <c r="F62" s="15" t="s">
        <v>600</v>
      </c>
      <c r="G62" s="15">
        <v>905</v>
      </c>
      <c r="H62" s="14">
        <v>5</v>
      </c>
      <c r="I62" s="14">
        <v>9</v>
      </c>
      <c r="J62" s="14">
        <v>3</v>
      </c>
      <c r="K62" s="14">
        <v>9</v>
      </c>
      <c r="L62" s="17" t="s">
        <v>69</v>
      </c>
      <c r="M62" s="17" t="s">
        <v>538</v>
      </c>
      <c r="N62" s="18">
        <v>8.41</v>
      </c>
      <c r="O62" s="18">
        <v>15.2</v>
      </c>
      <c r="P62" s="18">
        <v>42.4</v>
      </c>
      <c r="Q62" s="27">
        <f t="shared" si="0"/>
        <v>8.1041818181818179</v>
      </c>
      <c r="R62" s="18">
        <v>5306.87</v>
      </c>
      <c r="S62" s="19">
        <f t="shared" si="1"/>
        <v>4734.0499553969667</v>
      </c>
      <c r="T62" s="18">
        <v>69.569999999999993</v>
      </c>
      <c r="U62" s="18">
        <v>50.86</v>
      </c>
      <c r="V62" s="14">
        <v>0</v>
      </c>
      <c r="W62" s="18"/>
    </row>
    <row r="63" spans="1:23" x14ac:dyDescent="0.25">
      <c r="A63" s="12">
        <v>2025</v>
      </c>
      <c r="B63" s="3" t="s">
        <v>539</v>
      </c>
      <c r="C63" s="14" t="s">
        <v>118</v>
      </c>
      <c r="D63" s="14" t="s">
        <v>119</v>
      </c>
      <c r="E63" s="14" t="s">
        <v>120</v>
      </c>
      <c r="F63" s="15" t="s">
        <v>601</v>
      </c>
      <c r="G63" s="15">
        <v>906</v>
      </c>
      <c r="H63" s="14">
        <v>6</v>
      </c>
      <c r="I63" s="14">
        <v>9</v>
      </c>
      <c r="J63" s="14">
        <v>3</v>
      </c>
      <c r="K63" s="14">
        <v>15</v>
      </c>
      <c r="L63" s="17" t="s">
        <v>336</v>
      </c>
      <c r="M63" s="17" t="s">
        <v>53</v>
      </c>
      <c r="N63" s="18">
        <v>12.15</v>
      </c>
      <c r="O63" s="18">
        <v>15.8</v>
      </c>
      <c r="P63" s="18">
        <v>41.9</v>
      </c>
      <c r="Q63" s="27">
        <f t="shared" si="0"/>
        <v>11.625340909090909</v>
      </c>
      <c r="R63" s="18">
        <v>7612.64</v>
      </c>
      <c r="S63" s="19">
        <f t="shared" si="1"/>
        <v>6790.9366636931318</v>
      </c>
      <c r="T63" s="18">
        <v>70.23</v>
      </c>
      <c r="U63" s="18">
        <v>47.39</v>
      </c>
      <c r="V63" s="14">
        <v>1</v>
      </c>
      <c r="W63" s="18"/>
    </row>
    <row r="64" spans="1:23" x14ac:dyDescent="0.25">
      <c r="A64" s="12">
        <v>2025</v>
      </c>
      <c r="B64" s="3" t="s">
        <v>539</v>
      </c>
      <c r="C64" s="14" t="s">
        <v>118</v>
      </c>
      <c r="D64" s="14" t="s">
        <v>119</v>
      </c>
      <c r="E64" s="14" t="s">
        <v>120</v>
      </c>
      <c r="F64" s="15" t="s">
        <v>602</v>
      </c>
      <c r="G64" s="15">
        <v>907</v>
      </c>
      <c r="H64" s="14">
        <v>7</v>
      </c>
      <c r="I64" s="14">
        <v>9</v>
      </c>
      <c r="J64" s="14" t="s">
        <v>268</v>
      </c>
      <c r="K64" s="14" t="s">
        <v>268</v>
      </c>
      <c r="L64" s="17" t="s">
        <v>269</v>
      </c>
      <c r="M64" s="17" t="s">
        <v>604</v>
      </c>
      <c r="N64" s="18">
        <v>3.28</v>
      </c>
      <c r="O64" s="18">
        <v>17</v>
      </c>
      <c r="P64" s="18">
        <v>41.2</v>
      </c>
      <c r="Q64" s="27">
        <f t="shared" si="0"/>
        <v>3.0936363636363629</v>
      </c>
      <c r="R64" s="18">
        <v>2025.81</v>
      </c>
      <c r="S64" s="19">
        <f t="shared" si="1"/>
        <v>1807.1454058876004</v>
      </c>
      <c r="T64" s="18">
        <v>70.28</v>
      </c>
      <c r="U64" s="18">
        <v>53.2</v>
      </c>
      <c r="V64" s="14"/>
      <c r="W64" s="18"/>
    </row>
    <row r="65" spans="1:23" x14ac:dyDescent="0.25">
      <c r="A65" s="12">
        <v>2025</v>
      </c>
      <c r="B65" s="3" t="s">
        <v>605</v>
      </c>
      <c r="C65" s="14" t="s">
        <v>202</v>
      </c>
      <c r="D65" s="14" t="s">
        <v>203</v>
      </c>
      <c r="E65" s="14" t="s">
        <v>204</v>
      </c>
      <c r="F65" s="15" t="s">
        <v>606</v>
      </c>
      <c r="G65" s="15">
        <v>101</v>
      </c>
      <c r="H65" s="14">
        <v>1</v>
      </c>
      <c r="I65" s="14">
        <v>1</v>
      </c>
      <c r="J65" s="14">
        <v>1</v>
      </c>
      <c r="K65" s="14">
        <v>3</v>
      </c>
      <c r="L65" s="17" t="s">
        <v>100</v>
      </c>
      <c r="M65" s="17" t="s">
        <v>53</v>
      </c>
      <c r="N65" s="18">
        <v>8.39</v>
      </c>
      <c r="O65" s="18">
        <v>12.4</v>
      </c>
      <c r="P65" s="18">
        <v>38.5</v>
      </c>
      <c r="Q65" s="27">
        <f t="shared" si="0"/>
        <v>8.3518636363636372</v>
      </c>
      <c r="R65" s="18">
        <v>5469.06</v>
      </c>
      <c r="S65" s="19">
        <f t="shared" si="1"/>
        <v>4878.7332738626228</v>
      </c>
      <c r="T65" s="18">
        <v>70.319999999999993</v>
      </c>
      <c r="U65" s="18">
        <v>45.45</v>
      </c>
      <c r="V65" s="15">
        <v>3</v>
      </c>
      <c r="W65" s="18"/>
    </row>
    <row r="66" spans="1:23" x14ac:dyDescent="0.25">
      <c r="A66" s="12">
        <v>2025</v>
      </c>
      <c r="B66" s="3" t="s">
        <v>605</v>
      </c>
      <c r="C66" s="14" t="s">
        <v>202</v>
      </c>
      <c r="D66" s="14" t="s">
        <v>203</v>
      </c>
      <c r="E66" s="14" t="s">
        <v>204</v>
      </c>
      <c r="F66" s="15" t="s">
        <v>607</v>
      </c>
      <c r="G66" s="15">
        <v>102</v>
      </c>
      <c r="H66" s="14">
        <v>2</v>
      </c>
      <c r="I66" s="14">
        <v>1</v>
      </c>
      <c r="J66" s="14">
        <v>1</v>
      </c>
      <c r="K66" s="14">
        <v>8</v>
      </c>
      <c r="L66" s="17" t="s">
        <v>336</v>
      </c>
      <c r="M66" s="17" t="s">
        <v>603</v>
      </c>
      <c r="N66" s="18">
        <v>7.88</v>
      </c>
      <c r="O66" s="18">
        <v>11.3</v>
      </c>
      <c r="P66" s="18">
        <v>34.5</v>
      </c>
      <c r="Q66" s="27">
        <f t="shared" si="0"/>
        <v>7.9426818181818177</v>
      </c>
      <c r="R66" s="18">
        <v>5201.12</v>
      </c>
      <c r="S66" s="19">
        <f t="shared" si="1"/>
        <v>4639.7145405887595</v>
      </c>
      <c r="T66" s="18">
        <v>69.819999999999993</v>
      </c>
      <c r="U66" s="18">
        <v>45.1</v>
      </c>
      <c r="V66" s="15">
        <v>3</v>
      </c>
      <c r="W66" s="18"/>
    </row>
    <row r="67" spans="1:23" x14ac:dyDescent="0.25">
      <c r="A67" s="12">
        <v>2025</v>
      </c>
      <c r="B67" s="3" t="s">
        <v>605</v>
      </c>
      <c r="C67" s="14" t="s">
        <v>202</v>
      </c>
      <c r="D67" s="14" t="s">
        <v>203</v>
      </c>
      <c r="E67" s="14" t="s">
        <v>204</v>
      </c>
      <c r="F67" s="15" t="s">
        <v>608</v>
      </c>
      <c r="G67" s="15">
        <v>103</v>
      </c>
      <c r="H67" s="14">
        <v>3</v>
      </c>
      <c r="I67" s="14">
        <v>1</v>
      </c>
      <c r="J67" s="14">
        <v>2</v>
      </c>
      <c r="K67" s="14">
        <v>6</v>
      </c>
      <c r="L67" s="17" t="s">
        <v>336</v>
      </c>
      <c r="M67" s="17" t="s">
        <v>30</v>
      </c>
      <c r="N67" s="18">
        <v>6.91</v>
      </c>
      <c r="O67" s="18">
        <v>11</v>
      </c>
      <c r="P67" s="18">
        <v>29.8</v>
      </c>
      <c r="Q67" s="27">
        <f t="shared" ref="Q67:Q112" si="2">N67*(1-O67/100)/(1-0.12)</f>
        <v>6.9885227272727279</v>
      </c>
      <c r="R67" s="18">
        <v>4576.3</v>
      </c>
      <c r="S67" s="19">
        <f t="shared" ref="S67:S112" si="3">R67/1.121</f>
        <v>4082.3371989295274</v>
      </c>
      <c r="T67" s="18">
        <v>69.209999999999994</v>
      </c>
      <c r="U67" s="18">
        <v>42.51</v>
      </c>
      <c r="V67" s="15">
        <v>1</v>
      </c>
      <c r="W67" s="18"/>
    </row>
    <row r="68" spans="1:23" x14ac:dyDescent="0.25">
      <c r="A68" s="12">
        <v>2025</v>
      </c>
      <c r="B68" s="3" t="s">
        <v>605</v>
      </c>
      <c r="C68" s="14" t="s">
        <v>202</v>
      </c>
      <c r="D68" s="14" t="s">
        <v>203</v>
      </c>
      <c r="E68" s="14" t="s">
        <v>204</v>
      </c>
      <c r="F68" s="15" t="s">
        <v>609</v>
      </c>
      <c r="G68" s="15">
        <v>104</v>
      </c>
      <c r="H68" s="14">
        <v>4</v>
      </c>
      <c r="I68" s="14">
        <v>1</v>
      </c>
      <c r="J68" s="14">
        <v>3</v>
      </c>
      <c r="K68" s="14">
        <v>7</v>
      </c>
      <c r="L68" s="17" t="s">
        <v>336</v>
      </c>
      <c r="M68" s="17" t="s">
        <v>53</v>
      </c>
      <c r="N68" s="18">
        <v>6.49</v>
      </c>
      <c r="O68" s="18">
        <v>11.8</v>
      </c>
      <c r="P68" s="18">
        <v>34.6</v>
      </c>
      <c r="Q68" s="27">
        <f t="shared" si="2"/>
        <v>6.5047500000000005</v>
      </c>
      <c r="R68" s="18">
        <v>4259.51</v>
      </c>
      <c r="S68" s="19">
        <f t="shared" si="3"/>
        <v>3799.741302408564</v>
      </c>
      <c r="T68" s="18">
        <v>69.27</v>
      </c>
      <c r="U68" s="18">
        <v>43.63</v>
      </c>
      <c r="V68" s="15">
        <v>2</v>
      </c>
      <c r="W68" s="18"/>
    </row>
    <row r="69" spans="1:23" x14ac:dyDescent="0.25">
      <c r="A69" s="12">
        <v>2025</v>
      </c>
      <c r="B69" s="3" t="s">
        <v>605</v>
      </c>
      <c r="C69" s="14" t="s">
        <v>202</v>
      </c>
      <c r="D69" s="14" t="s">
        <v>203</v>
      </c>
      <c r="E69" s="14" t="s">
        <v>204</v>
      </c>
      <c r="F69" s="15" t="s">
        <v>610</v>
      </c>
      <c r="G69" s="15">
        <v>201</v>
      </c>
      <c r="H69" s="14">
        <v>1</v>
      </c>
      <c r="I69" s="14">
        <v>2</v>
      </c>
      <c r="J69" s="14">
        <v>1</v>
      </c>
      <c r="K69" s="14">
        <v>4</v>
      </c>
      <c r="L69" s="17" t="s">
        <v>100</v>
      </c>
      <c r="M69" s="17" t="s">
        <v>603</v>
      </c>
      <c r="N69" s="18">
        <v>8.92</v>
      </c>
      <c r="O69" s="18">
        <v>13</v>
      </c>
      <c r="P69" s="18">
        <v>41.6</v>
      </c>
      <c r="Q69" s="27">
        <f t="shared" si="2"/>
        <v>8.8186363636363634</v>
      </c>
      <c r="R69" s="18">
        <v>5774.72</v>
      </c>
      <c r="S69" s="19">
        <f t="shared" si="3"/>
        <v>5151.4005352363965</v>
      </c>
      <c r="T69" s="18">
        <v>71.66</v>
      </c>
      <c r="U69" s="18">
        <v>45.15</v>
      </c>
      <c r="V69" s="15">
        <v>3</v>
      </c>
      <c r="W69" s="18"/>
    </row>
    <row r="70" spans="1:23" x14ac:dyDescent="0.25">
      <c r="A70" s="12">
        <v>2025</v>
      </c>
      <c r="B70" s="3" t="s">
        <v>605</v>
      </c>
      <c r="C70" s="14" t="s">
        <v>202</v>
      </c>
      <c r="D70" s="14" t="s">
        <v>203</v>
      </c>
      <c r="E70" s="14" t="s">
        <v>204</v>
      </c>
      <c r="F70" s="15" t="s">
        <v>611</v>
      </c>
      <c r="G70" s="15">
        <v>202</v>
      </c>
      <c r="H70" s="14">
        <v>2</v>
      </c>
      <c r="I70" s="14">
        <v>2</v>
      </c>
      <c r="J70" s="14">
        <v>1</v>
      </c>
      <c r="K70" s="14">
        <v>5</v>
      </c>
      <c r="L70" s="17" t="s">
        <v>336</v>
      </c>
      <c r="M70" s="17" t="s">
        <v>538</v>
      </c>
      <c r="N70" s="18">
        <v>7.61</v>
      </c>
      <c r="O70" s="18">
        <v>11.5</v>
      </c>
      <c r="P70" s="18">
        <v>35.5</v>
      </c>
      <c r="Q70" s="27">
        <f t="shared" si="2"/>
        <v>7.6532386363636373</v>
      </c>
      <c r="R70" s="18">
        <v>5011.58</v>
      </c>
      <c r="S70" s="19">
        <f t="shared" si="3"/>
        <v>4470.6333630686886</v>
      </c>
      <c r="T70" s="18">
        <v>69.98</v>
      </c>
      <c r="U70" s="18">
        <v>41.12</v>
      </c>
      <c r="V70" s="15">
        <v>4</v>
      </c>
      <c r="W70" s="18"/>
    </row>
    <row r="71" spans="1:23" x14ac:dyDescent="0.25">
      <c r="A71" s="12">
        <v>2025</v>
      </c>
      <c r="B71" s="3" t="s">
        <v>605</v>
      </c>
      <c r="C71" s="14" t="s">
        <v>202</v>
      </c>
      <c r="D71" s="14" t="s">
        <v>203</v>
      </c>
      <c r="E71" s="14" t="s">
        <v>204</v>
      </c>
      <c r="F71" s="15" t="s">
        <v>612</v>
      </c>
      <c r="G71" s="15">
        <v>203</v>
      </c>
      <c r="H71" s="14">
        <v>3</v>
      </c>
      <c r="I71" s="14">
        <v>2</v>
      </c>
      <c r="J71" s="14">
        <v>2</v>
      </c>
      <c r="K71" s="14">
        <v>1</v>
      </c>
      <c r="L71" s="17" t="s">
        <v>100</v>
      </c>
      <c r="M71" s="17" t="s">
        <v>538</v>
      </c>
      <c r="N71" s="18">
        <v>8.82</v>
      </c>
      <c r="O71" s="18">
        <v>12.5</v>
      </c>
      <c r="P71" s="18">
        <v>40.9</v>
      </c>
      <c r="Q71" s="27">
        <f t="shared" si="2"/>
        <v>8.7698863636363633</v>
      </c>
      <c r="R71" s="18">
        <v>5742.8</v>
      </c>
      <c r="S71" s="19">
        <f t="shared" si="3"/>
        <v>5122.9259589652102</v>
      </c>
      <c r="T71" s="18">
        <v>71.91</v>
      </c>
      <c r="U71" s="18">
        <v>42.53</v>
      </c>
      <c r="V71" s="15">
        <v>1</v>
      </c>
      <c r="W71" s="18"/>
    </row>
    <row r="72" spans="1:23" x14ac:dyDescent="0.25">
      <c r="A72" s="12">
        <v>2025</v>
      </c>
      <c r="B72" s="3" t="s">
        <v>605</v>
      </c>
      <c r="C72" s="14" t="s">
        <v>202</v>
      </c>
      <c r="D72" s="14" t="s">
        <v>203</v>
      </c>
      <c r="E72" s="14" t="s">
        <v>204</v>
      </c>
      <c r="F72" s="15" t="s">
        <v>613</v>
      </c>
      <c r="G72" s="15">
        <v>204</v>
      </c>
      <c r="H72" s="14">
        <v>4</v>
      </c>
      <c r="I72" s="14">
        <v>2</v>
      </c>
      <c r="J72" s="14">
        <v>3</v>
      </c>
      <c r="K72" s="14">
        <v>1</v>
      </c>
      <c r="L72" s="17" t="s">
        <v>100</v>
      </c>
      <c r="M72" s="17" t="s">
        <v>538</v>
      </c>
      <c r="N72" s="18">
        <v>8.9499999999999993</v>
      </c>
      <c r="O72" s="18">
        <v>13</v>
      </c>
      <c r="P72" s="18">
        <v>40.700000000000003</v>
      </c>
      <c r="Q72" s="27">
        <f t="shared" si="2"/>
        <v>8.848295454545454</v>
      </c>
      <c r="R72" s="18">
        <v>5794.14</v>
      </c>
      <c r="S72" s="19">
        <f t="shared" si="3"/>
        <v>5168.7243532560215</v>
      </c>
      <c r="T72" s="18">
        <v>71.09</v>
      </c>
      <c r="U72" s="18">
        <v>42.18</v>
      </c>
      <c r="V72" s="15">
        <v>2</v>
      </c>
      <c r="W72" s="18"/>
    </row>
    <row r="73" spans="1:23" x14ac:dyDescent="0.25">
      <c r="A73" s="12">
        <v>2025</v>
      </c>
      <c r="B73" s="3" t="s">
        <v>605</v>
      </c>
      <c r="C73" s="14" t="s">
        <v>202</v>
      </c>
      <c r="D73" s="14" t="s">
        <v>203</v>
      </c>
      <c r="E73" s="14" t="s">
        <v>204</v>
      </c>
      <c r="F73" s="15" t="s">
        <v>614</v>
      </c>
      <c r="G73" s="15">
        <v>301</v>
      </c>
      <c r="H73" s="14">
        <v>1</v>
      </c>
      <c r="I73" s="14">
        <v>3</v>
      </c>
      <c r="J73" s="14">
        <v>1</v>
      </c>
      <c r="K73" s="14">
        <v>2</v>
      </c>
      <c r="L73" s="17" t="s">
        <v>100</v>
      </c>
      <c r="M73" s="17" t="s">
        <v>30</v>
      </c>
      <c r="N73" s="18">
        <v>9.1300000000000008</v>
      </c>
      <c r="O73" s="18">
        <v>13</v>
      </c>
      <c r="P73" s="18">
        <v>41.1</v>
      </c>
      <c r="Q73" s="27">
        <f t="shared" si="2"/>
        <v>9.026250000000001</v>
      </c>
      <c r="R73" s="18">
        <v>5910.67</v>
      </c>
      <c r="S73" s="19">
        <f t="shared" si="3"/>
        <v>5272.6761819803751</v>
      </c>
      <c r="T73" s="18">
        <v>70.67</v>
      </c>
      <c r="U73" s="18">
        <v>43.31</v>
      </c>
      <c r="V73" s="15">
        <v>2</v>
      </c>
      <c r="W73" s="18"/>
    </row>
    <row r="74" spans="1:23" x14ac:dyDescent="0.25">
      <c r="A74" s="12">
        <v>2025</v>
      </c>
      <c r="B74" s="3" t="s">
        <v>605</v>
      </c>
      <c r="C74" s="14" t="s">
        <v>202</v>
      </c>
      <c r="D74" s="14" t="s">
        <v>203</v>
      </c>
      <c r="E74" s="14" t="s">
        <v>204</v>
      </c>
      <c r="F74" s="15" t="s">
        <v>615</v>
      </c>
      <c r="G74" s="15">
        <v>302</v>
      </c>
      <c r="H74" s="14">
        <v>2</v>
      </c>
      <c r="I74" s="14">
        <v>3</v>
      </c>
      <c r="J74" s="14">
        <v>2</v>
      </c>
      <c r="K74" s="14">
        <v>8</v>
      </c>
      <c r="L74" s="17" t="s">
        <v>336</v>
      </c>
      <c r="M74" s="17" t="s">
        <v>603</v>
      </c>
      <c r="N74" s="18">
        <v>7.87</v>
      </c>
      <c r="O74" s="18">
        <v>11.9</v>
      </c>
      <c r="P74" s="18">
        <v>36.200000000000003</v>
      </c>
      <c r="Q74" s="27">
        <f t="shared" si="2"/>
        <v>7.8789431818181814</v>
      </c>
      <c r="R74" s="18">
        <v>5159.38</v>
      </c>
      <c r="S74" s="19">
        <f t="shared" si="3"/>
        <v>4602.4799286351472</v>
      </c>
      <c r="T74" s="18">
        <v>70.44</v>
      </c>
      <c r="U74" s="18">
        <v>45.36</v>
      </c>
      <c r="V74" s="15">
        <v>3</v>
      </c>
      <c r="W74" s="18"/>
    </row>
    <row r="75" spans="1:23" x14ac:dyDescent="0.25">
      <c r="A75" s="12">
        <v>2025</v>
      </c>
      <c r="B75" s="3" t="s">
        <v>605</v>
      </c>
      <c r="C75" s="14" t="s">
        <v>202</v>
      </c>
      <c r="D75" s="14" t="s">
        <v>203</v>
      </c>
      <c r="E75" s="14" t="s">
        <v>204</v>
      </c>
      <c r="F75" s="15" t="s">
        <v>616</v>
      </c>
      <c r="G75" s="15">
        <v>303</v>
      </c>
      <c r="H75" s="14">
        <v>3</v>
      </c>
      <c r="I75" s="14">
        <v>3</v>
      </c>
      <c r="J75" s="14">
        <v>2</v>
      </c>
      <c r="K75" s="14">
        <v>4</v>
      </c>
      <c r="L75" s="17" t="s">
        <v>100</v>
      </c>
      <c r="M75" s="17" t="s">
        <v>603</v>
      </c>
      <c r="N75" s="18">
        <v>9.1999999999999993</v>
      </c>
      <c r="O75" s="18">
        <v>13.4</v>
      </c>
      <c r="P75" s="18">
        <v>41.9</v>
      </c>
      <c r="Q75" s="27">
        <f t="shared" si="2"/>
        <v>9.0536363636363628</v>
      </c>
      <c r="R75" s="18">
        <v>5928.6</v>
      </c>
      <c r="S75" s="19">
        <f t="shared" si="3"/>
        <v>5288.6708296164143</v>
      </c>
      <c r="T75" s="18">
        <v>72.099999999999994</v>
      </c>
      <c r="U75" s="18">
        <v>45.25</v>
      </c>
      <c r="V75" s="15">
        <v>5</v>
      </c>
      <c r="W75" s="18"/>
    </row>
    <row r="76" spans="1:23" x14ac:dyDescent="0.25">
      <c r="A76" s="12">
        <v>2025</v>
      </c>
      <c r="B76" s="3" t="s">
        <v>605</v>
      </c>
      <c r="C76" s="14" t="s">
        <v>202</v>
      </c>
      <c r="D76" s="14" t="s">
        <v>203</v>
      </c>
      <c r="E76" s="14" t="s">
        <v>204</v>
      </c>
      <c r="F76" s="15" t="s">
        <v>617</v>
      </c>
      <c r="G76" s="15">
        <v>304</v>
      </c>
      <c r="H76" s="14">
        <v>4</v>
      </c>
      <c r="I76" s="14">
        <v>3</v>
      </c>
      <c r="J76" s="14">
        <v>3</v>
      </c>
      <c r="K76" s="14">
        <v>4</v>
      </c>
      <c r="L76" s="17" t="s">
        <v>100</v>
      </c>
      <c r="M76" s="17" t="s">
        <v>603</v>
      </c>
      <c r="N76" s="18">
        <v>10.17</v>
      </c>
      <c r="O76" s="18">
        <v>12.8</v>
      </c>
      <c r="P76" s="18">
        <v>41.8</v>
      </c>
      <c r="Q76" s="27">
        <f t="shared" si="2"/>
        <v>10.077545454545454</v>
      </c>
      <c r="R76" s="18">
        <v>6599.09</v>
      </c>
      <c r="S76" s="19">
        <f t="shared" si="3"/>
        <v>5886.7885816235503</v>
      </c>
      <c r="T76" s="18">
        <v>72.34</v>
      </c>
      <c r="U76" s="18">
        <v>45.34</v>
      </c>
      <c r="V76" s="15">
        <v>2</v>
      </c>
      <c r="W76" s="18"/>
    </row>
    <row r="77" spans="1:23" x14ac:dyDescent="0.25">
      <c r="A77" s="12">
        <v>2025</v>
      </c>
      <c r="B77" s="3" t="s">
        <v>605</v>
      </c>
      <c r="C77" s="14" t="s">
        <v>202</v>
      </c>
      <c r="D77" s="14" t="s">
        <v>203</v>
      </c>
      <c r="E77" s="14" t="s">
        <v>204</v>
      </c>
      <c r="F77" s="15" t="s">
        <v>618</v>
      </c>
      <c r="G77" s="15">
        <v>401</v>
      </c>
      <c r="H77" s="14">
        <v>1</v>
      </c>
      <c r="I77" s="14">
        <v>4</v>
      </c>
      <c r="J77" s="14">
        <v>1</v>
      </c>
      <c r="K77" s="14">
        <v>1</v>
      </c>
      <c r="L77" s="17" t="s">
        <v>100</v>
      </c>
      <c r="M77" s="17" t="s">
        <v>538</v>
      </c>
      <c r="N77" s="18">
        <v>9.3800000000000008</v>
      </c>
      <c r="O77" s="18">
        <v>13.1</v>
      </c>
      <c r="P77" s="18">
        <v>41.2</v>
      </c>
      <c r="Q77" s="27">
        <f t="shared" si="2"/>
        <v>9.2627500000000005</v>
      </c>
      <c r="R77" s="18">
        <v>6065.54</v>
      </c>
      <c r="S77" s="19">
        <f t="shared" si="3"/>
        <v>5410.8296164139165</v>
      </c>
      <c r="T77" s="18">
        <v>72.38</v>
      </c>
      <c r="U77" s="18">
        <v>46.16</v>
      </c>
      <c r="V77" s="15">
        <v>2</v>
      </c>
      <c r="W77" s="18"/>
    </row>
    <row r="78" spans="1:23" x14ac:dyDescent="0.25">
      <c r="A78" s="12">
        <v>2025</v>
      </c>
      <c r="B78" s="3" t="s">
        <v>605</v>
      </c>
      <c r="C78" s="14" t="s">
        <v>202</v>
      </c>
      <c r="D78" s="14" t="s">
        <v>203</v>
      </c>
      <c r="E78" s="14" t="s">
        <v>204</v>
      </c>
      <c r="F78" s="15" t="s">
        <v>619</v>
      </c>
      <c r="G78" s="15">
        <v>402</v>
      </c>
      <c r="H78" s="14">
        <v>2</v>
      </c>
      <c r="I78" s="14">
        <v>4</v>
      </c>
      <c r="J78" s="14">
        <v>2</v>
      </c>
      <c r="K78" s="14">
        <v>5</v>
      </c>
      <c r="L78" s="17" t="s">
        <v>336</v>
      </c>
      <c r="M78" s="17" t="s">
        <v>538</v>
      </c>
      <c r="N78" s="18">
        <v>7.22</v>
      </c>
      <c r="O78" s="18">
        <v>11.7</v>
      </c>
      <c r="P78" s="18">
        <v>37.1</v>
      </c>
      <c r="Q78" s="27">
        <f t="shared" si="2"/>
        <v>7.2446136363636366</v>
      </c>
      <c r="R78" s="18">
        <v>4744</v>
      </c>
      <c r="S78" s="19">
        <f t="shared" si="3"/>
        <v>4231.9357716324712</v>
      </c>
      <c r="T78" s="18">
        <v>70.34</v>
      </c>
      <c r="U78" s="18">
        <v>42.91</v>
      </c>
      <c r="V78" s="15">
        <v>3</v>
      </c>
      <c r="W78" s="18"/>
    </row>
    <row r="79" spans="1:23" x14ac:dyDescent="0.25">
      <c r="A79" s="12">
        <v>2025</v>
      </c>
      <c r="B79" s="3" t="s">
        <v>605</v>
      </c>
      <c r="C79" s="14" t="s">
        <v>202</v>
      </c>
      <c r="D79" s="14" t="s">
        <v>203</v>
      </c>
      <c r="E79" s="14" t="s">
        <v>204</v>
      </c>
      <c r="F79" s="15" t="s">
        <v>620</v>
      </c>
      <c r="G79" s="15">
        <v>403</v>
      </c>
      <c r="H79" s="14">
        <v>3</v>
      </c>
      <c r="I79" s="14">
        <v>4</v>
      </c>
      <c r="J79" s="14">
        <v>2</v>
      </c>
      <c r="K79" s="14">
        <v>3</v>
      </c>
      <c r="L79" s="17" t="s">
        <v>100</v>
      </c>
      <c r="M79" s="17" t="s">
        <v>53</v>
      </c>
      <c r="N79" s="18">
        <v>10.24</v>
      </c>
      <c r="O79" s="18">
        <v>13.4</v>
      </c>
      <c r="P79" s="18">
        <v>42.2</v>
      </c>
      <c r="Q79" s="27">
        <f t="shared" si="2"/>
        <v>10.077090909090908</v>
      </c>
      <c r="R79" s="18">
        <v>6598.8</v>
      </c>
      <c r="S79" s="19">
        <f t="shared" si="3"/>
        <v>5886.5298840321148</v>
      </c>
      <c r="T79" s="18">
        <v>72.5</v>
      </c>
      <c r="U79" s="18">
        <v>47.85</v>
      </c>
      <c r="V79" s="15">
        <v>2</v>
      </c>
      <c r="W79" s="18"/>
    </row>
    <row r="80" spans="1:23" x14ac:dyDescent="0.25">
      <c r="A80" s="12">
        <v>2025</v>
      </c>
      <c r="B80" s="3" t="s">
        <v>605</v>
      </c>
      <c r="C80" s="14" t="s">
        <v>202</v>
      </c>
      <c r="D80" s="14" t="s">
        <v>203</v>
      </c>
      <c r="E80" s="14" t="s">
        <v>204</v>
      </c>
      <c r="F80" s="15" t="s">
        <v>621</v>
      </c>
      <c r="G80" s="15">
        <v>404</v>
      </c>
      <c r="H80" s="14">
        <v>4</v>
      </c>
      <c r="I80" s="14">
        <v>4</v>
      </c>
      <c r="J80" s="14">
        <v>3</v>
      </c>
      <c r="K80" s="14">
        <v>6</v>
      </c>
      <c r="L80" s="17" t="s">
        <v>336</v>
      </c>
      <c r="M80" s="17" t="s">
        <v>30</v>
      </c>
      <c r="N80" s="18">
        <v>9.6199999999999992</v>
      </c>
      <c r="O80" s="18">
        <v>11.2</v>
      </c>
      <c r="P80" s="18">
        <v>37</v>
      </c>
      <c r="Q80" s="27">
        <f t="shared" si="2"/>
        <v>9.7074545454545458</v>
      </c>
      <c r="R80" s="18">
        <v>6356.75</v>
      </c>
      <c r="S80" s="19">
        <f t="shared" si="3"/>
        <v>5670.6066012488845</v>
      </c>
      <c r="T80" s="18">
        <v>70.66</v>
      </c>
      <c r="U80" s="18">
        <v>44.34</v>
      </c>
      <c r="V80" s="15">
        <v>3</v>
      </c>
      <c r="W80" s="18"/>
    </row>
    <row r="81" spans="1:23" x14ac:dyDescent="0.25">
      <c r="A81" s="12">
        <v>2025</v>
      </c>
      <c r="B81" s="3" t="s">
        <v>605</v>
      </c>
      <c r="C81" s="14" t="s">
        <v>202</v>
      </c>
      <c r="D81" s="14" t="s">
        <v>203</v>
      </c>
      <c r="E81" s="14" t="s">
        <v>204</v>
      </c>
      <c r="F81" s="15" t="s">
        <v>622</v>
      </c>
      <c r="G81" s="15">
        <v>501</v>
      </c>
      <c r="H81" s="14">
        <v>1</v>
      </c>
      <c r="I81" s="14">
        <v>5</v>
      </c>
      <c r="J81" s="14">
        <v>1</v>
      </c>
      <c r="K81" s="14">
        <v>6</v>
      </c>
      <c r="L81" s="17" t="s">
        <v>336</v>
      </c>
      <c r="M81" s="17" t="s">
        <v>30</v>
      </c>
      <c r="N81" s="18">
        <v>8.3800000000000008</v>
      </c>
      <c r="O81" s="18">
        <v>12.4</v>
      </c>
      <c r="P81" s="18">
        <v>37.6</v>
      </c>
      <c r="Q81" s="27">
        <f t="shared" si="2"/>
        <v>8.3419090909090912</v>
      </c>
      <c r="R81" s="18">
        <v>5462.54</v>
      </c>
      <c r="S81" s="19">
        <f t="shared" si="3"/>
        <v>4872.9170383586088</v>
      </c>
      <c r="T81" s="18">
        <v>71.53</v>
      </c>
      <c r="U81" s="18">
        <v>48.03</v>
      </c>
      <c r="V81" s="15">
        <v>3</v>
      </c>
      <c r="W81" s="18"/>
    </row>
    <row r="82" spans="1:23" x14ac:dyDescent="0.25">
      <c r="A82" s="12">
        <v>2025</v>
      </c>
      <c r="B82" s="3" t="s">
        <v>605</v>
      </c>
      <c r="C82" s="14" t="s">
        <v>202</v>
      </c>
      <c r="D82" s="14" t="s">
        <v>203</v>
      </c>
      <c r="E82" s="14" t="s">
        <v>204</v>
      </c>
      <c r="F82" s="15" t="s">
        <v>623</v>
      </c>
      <c r="G82" s="15">
        <v>502</v>
      </c>
      <c r="H82" s="14">
        <v>2</v>
      </c>
      <c r="I82" s="14">
        <v>5</v>
      </c>
      <c r="J82" s="14">
        <v>2</v>
      </c>
      <c r="K82" s="14">
        <v>7</v>
      </c>
      <c r="L82" s="17" t="s">
        <v>336</v>
      </c>
      <c r="M82" s="17" t="s">
        <v>53</v>
      </c>
      <c r="N82" s="18">
        <v>7.29</v>
      </c>
      <c r="O82" s="18">
        <v>11.7</v>
      </c>
      <c r="P82" s="18">
        <v>36.6</v>
      </c>
      <c r="Q82" s="27">
        <f t="shared" si="2"/>
        <v>7.3148522727272729</v>
      </c>
      <c r="R82" s="18">
        <v>4789.99</v>
      </c>
      <c r="S82" s="19">
        <f t="shared" si="3"/>
        <v>4272.9616413916146</v>
      </c>
      <c r="T82" s="18">
        <v>71.040000000000006</v>
      </c>
      <c r="U82" s="18">
        <v>48.27</v>
      </c>
      <c r="V82" s="15">
        <v>4</v>
      </c>
      <c r="W82" s="18"/>
    </row>
    <row r="83" spans="1:23" x14ac:dyDescent="0.25">
      <c r="A83" s="12">
        <v>2025</v>
      </c>
      <c r="B83" s="3" t="s">
        <v>605</v>
      </c>
      <c r="C83" s="14" t="s">
        <v>202</v>
      </c>
      <c r="D83" s="14" t="s">
        <v>203</v>
      </c>
      <c r="E83" s="14" t="s">
        <v>204</v>
      </c>
      <c r="F83" s="15" t="s">
        <v>624</v>
      </c>
      <c r="G83" s="15">
        <v>503</v>
      </c>
      <c r="H83" s="14">
        <v>3</v>
      </c>
      <c r="I83" s="14">
        <v>5</v>
      </c>
      <c r="J83" s="14">
        <v>3</v>
      </c>
      <c r="K83" s="14">
        <v>5</v>
      </c>
      <c r="L83" s="17" t="s">
        <v>336</v>
      </c>
      <c r="M83" s="17" t="s">
        <v>538</v>
      </c>
      <c r="N83" s="18">
        <v>8.32</v>
      </c>
      <c r="O83" s="18">
        <v>11.4</v>
      </c>
      <c r="P83" s="18">
        <v>34.299999999999997</v>
      </c>
      <c r="Q83" s="27">
        <f t="shared" si="2"/>
        <v>8.3767272727272726</v>
      </c>
      <c r="R83" s="18">
        <v>5485.34</v>
      </c>
      <c r="S83" s="19">
        <f t="shared" si="3"/>
        <v>4893.2560214094556</v>
      </c>
      <c r="T83" s="18">
        <v>70.61</v>
      </c>
      <c r="U83" s="18">
        <v>43.04</v>
      </c>
      <c r="V83" s="15">
        <v>2</v>
      </c>
      <c r="W83" s="18"/>
    </row>
    <row r="84" spans="1:23" x14ac:dyDescent="0.25">
      <c r="A84" s="12">
        <v>2025</v>
      </c>
      <c r="B84" s="3" t="s">
        <v>605</v>
      </c>
      <c r="C84" s="14" t="s">
        <v>202</v>
      </c>
      <c r="D84" s="14" t="s">
        <v>203</v>
      </c>
      <c r="E84" s="14" t="s">
        <v>204</v>
      </c>
      <c r="F84" s="15" t="s">
        <v>625</v>
      </c>
      <c r="G84" s="15">
        <v>504</v>
      </c>
      <c r="H84" s="14">
        <v>4</v>
      </c>
      <c r="I84" s="14">
        <v>5</v>
      </c>
      <c r="J84" s="14">
        <v>3</v>
      </c>
      <c r="K84" s="14">
        <v>3</v>
      </c>
      <c r="L84" s="17" t="s">
        <v>100</v>
      </c>
      <c r="M84" s="17" t="s">
        <v>53</v>
      </c>
      <c r="N84" s="18">
        <v>10.33</v>
      </c>
      <c r="O84" s="18">
        <v>12.8</v>
      </c>
      <c r="P84" s="18">
        <v>41.5</v>
      </c>
      <c r="Q84" s="27">
        <f t="shared" si="2"/>
        <v>10.236090909090908</v>
      </c>
      <c r="R84" s="18">
        <v>6702.91</v>
      </c>
      <c r="S84" s="19">
        <f t="shared" si="3"/>
        <v>5979.4023193577159</v>
      </c>
      <c r="T84" s="18">
        <v>72.12</v>
      </c>
      <c r="U84" s="18">
        <v>45.31</v>
      </c>
      <c r="V84" s="15">
        <v>1</v>
      </c>
      <c r="W84" s="18"/>
    </row>
    <row r="85" spans="1:23" x14ac:dyDescent="0.25">
      <c r="A85" s="12">
        <v>2025</v>
      </c>
      <c r="B85" s="3" t="s">
        <v>605</v>
      </c>
      <c r="C85" s="14" t="s">
        <v>202</v>
      </c>
      <c r="D85" s="14" t="s">
        <v>203</v>
      </c>
      <c r="E85" s="14" t="s">
        <v>204</v>
      </c>
      <c r="F85" s="15" t="s">
        <v>626</v>
      </c>
      <c r="G85" s="15">
        <v>601</v>
      </c>
      <c r="H85" s="14">
        <v>1</v>
      </c>
      <c r="I85" s="14">
        <v>6</v>
      </c>
      <c r="J85" s="14">
        <v>1</v>
      </c>
      <c r="K85" s="14">
        <v>7</v>
      </c>
      <c r="L85" s="17" t="s">
        <v>336</v>
      </c>
      <c r="M85" s="17" t="s">
        <v>53</v>
      </c>
      <c r="N85" s="18">
        <v>8.5500000000000007</v>
      </c>
      <c r="O85" s="18">
        <v>12</v>
      </c>
      <c r="P85" s="18">
        <v>37.9</v>
      </c>
      <c r="Q85" s="27">
        <f t="shared" si="2"/>
        <v>8.5500000000000007</v>
      </c>
      <c r="R85" s="18">
        <v>5598.81</v>
      </c>
      <c r="S85" s="19">
        <f t="shared" si="3"/>
        <v>4994.4781445138269</v>
      </c>
      <c r="T85" s="18">
        <v>71.63</v>
      </c>
      <c r="U85" s="18">
        <v>51.42</v>
      </c>
      <c r="V85" s="15">
        <v>5</v>
      </c>
      <c r="W85" s="18"/>
    </row>
    <row r="86" spans="1:23" x14ac:dyDescent="0.25">
      <c r="A86" s="12">
        <v>2025</v>
      </c>
      <c r="B86" s="3" t="s">
        <v>605</v>
      </c>
      <c r="C86" s="14" t="s">
        <v>202</v>
      </c>
      <c r="D86" s="14" t="s">
        <v>203</v>
      </c>
      <c r="E86" s="14" t="s">
        <v>204</v>
      </c>
      <c r="F86" s="15" t="s">
        <v>627</v>
      </c>
      <c r="G86" s="15">
        <v>602</v>
      </c>
      <c r="H86" s="14">
        <v>2</v>
      </c>
      <c r="I86" s="14">
        <v>6</v>
      </c>
      <c r="J86" s="14">
        <v>2</v>
      </c>
      <c r="K86" s="14">
        <v>2</v>
      </c>
      <c r="L86" s="17" t="s">
        <v>100</v>
      </c>
      <c r="M86" s="17" t="s">
        <v>30</v>
      </c>
      <c r="N86" s="18">
        <v>8.6199999999999992</v>
      </c>
      <c r="O86" s="18">
        <v>13.5</v>
      </c>
      <c r="P86" s="18">
        <v>41.1</v>
      </c>
      <c r="Q86" s="27">
        <f t="shared" si="2"/>
        <v>8.4730681818181797</v>
      </c>
      <c r="R86" s="18">
        <v>5548.43</v>
      </c>
      <c r="S86" s="19">
        <f t="shared" si="3"/>
        <v>4949.5361284567352</v>
      </c>
      <c r="T86" s="18">
        <v>71.38</v>
      </c>
      <c r="U86" s="18">
        <v>44.49</v>
      </c>
      <c r="V86" s="15">
        <v>3</v>
      </c>
      <c r="W86" s="18"/>
    </row>
    <row r="87" spans="1:23" x14ac:dyDescent="0.25">
      <c r="A87" s="12">
        <v>2025</v>
      </c>
      <c r="B87" s="3" t="s">
        <v>605</v>
      </c>
      <c r="C87" s="14" t="s">
        <v>202</v>
      </c>
      <c r="D87" s="14" t="s">
        <v>203</v>
      </c>
      <c r="E87" s="14" t="s">
        <v>204</v>
      </c>
      <c r="F87" s="15" t="s">
        <v>628</v>
      </c>
      <c r="G87" s="15">
        <v>603</v>
      </c>
      <c r="H87" s="14">
        <v>3</v>
      </c>
      <c r="I87" s="14">
        <v>6</v>
      </c>
      <c r="J87" s="14">
        <v>3</v>
      </c>
      <c r="K87" s="14">
        <v>2</v>
      </c>
      <c r="L87" s="17" t="s">
        <v>100</v>
      </c>
      <c r="M87" s="17" t="s">
        <v>30</v>
      </c>
      <c r="N87" s="18">
        <v>10.19</v>
      </c>
      <c r="O87" s="18">
        <v>12.8</v>
      </c>
      <c r="P87" s="18">
        <v>40.9</v>
      </c>
      <c r="Q87" s="27">
        <f t="shared" si="2"/>
        <v>10.097363636363635</v>
      </c>
      <c r="R87" s="18">
        <v>6612.07</v>
      </c>
      <c r="S87" s="19">
        <f t="shared" si="3"/>
        <v>5898.3675289919711</v>
      </c>
      <c r="T87" s="18">
        <v>72.55</v>
      </c>
      <c r="U87" s="18">
        <v>46.7</v>
      </c>
      <c r="V87" s="15">
        <v>2</v>
      </c>
      <c r="W87" s="18"/>
    </row>
    <row r="88" spans="1:23" x14ac:dyDescent="0.25">
      <c r="A88" s="12">
        <v>2025</v>
      </c>
      <c r="B88" s="3" t="s">
        <v>605</v>
      </c>
      <c r="C88" s="14" t="s">
        <v>202</v>
      </c>
      <c r="D88" s="14" t="s">
        <v>203</v>
      </c>
      <c r="E88" s="14" t="s">
        <v>204</v>
      </c>
      <c r="F88" s="15" t="s">
        <v>629</v>
      </c>
      <c r="G88" s="15">
        <v>604</v>
      </c>
      <c r="H88" s="14">
        <v>4</v>
      </c>
      <c r="I88" s="14">
        <v>6</v>
      </c>
      <c r="J88" s="14">
        <v>3</v>
      </c>
      <c r="K88" s="14">
        <v>8</v>
      </c>
      <c r="L88" s="17" t="s">
        <v>336</v>
      </c>
      <c r="M88" s="17" t="s">
        <v>603</v>
      </c>
      <c r="N88" s="18">
        <v>8.1999999999999993</v>
      </c>
      <c r="O88" s="18">
        <v>10.7</v>
      </c>
      <c r="P88" s="18">
        <v>32.5</v>
      </c>
      <c r="Q88" s="27">
        <f t="shared" si="2"/>
        <v>8.3211363636363629</v>
      </c>
      <c r="R88" s="18">
        <v>5448.94</v>
      </c>
      <c r="S88" s="19">
        <f t="shared" si="3"/>
        <v>4860.7850133809097</v>
      </c>
      <c r="T88" s="18">
        <v>70.78</v>
      </c>
      <c r="U88" s="18">
        <v>43.42</v>
      </c>
      <c r="V88" s="15">
        <v>4</v>
      </c>
      <c r="W88" s="18"/>
    </row>
    <row r="89" spans="1:23" x14ac:dyDescent="0.25">
      <c r="A89" s="12">
        <v>2025</v>
      </c>
      <c r="B89" s="3" t="s">
        <v>630</v>
      </c>
      <c r="C89" s="14" t="s">
        <v>244</v>
      </c>
      <c r="D89" s="14" t="s">
        <v>245</v>
      </c>
      <c r="E89" s="14" t="s">
        <v>246</v>
      </c>
      <c r="F89" s="15" t="s">
        <v>631</v>
      </c>
      <c r="G89" s="15">
        <v>101</v>
      </c>
      <c r="H89" s="15">
        <v>1</v>
      </c>
      <c r="I89" s="15">
        <v>1</v>
      </c>
      <c r="J89" s="15">
        <v>1</v>
      </c>
      <c r="K89" s="15">
        <v>4</v>
      </c>
      <c r="L89" t="s">
        <v>100</v>
      </c>
      <c r="M89" t="s">
        <v>603</v>
      </c>
      <c r="N89" s="18">
        <v>11.03</v>
      </c>
      <c r="O89" s="18">
        <v>12.4</v>
      </c>
      <c r="P89" s="18">
        <v>44.4</v>
      </c>
      <c r="Q89" s="27">
        <f t="shared" si="2"/>
        <v>10.979863636363635</v>
      </c>
      <c r="R89" s="18">
        <v>7189.96</v>
      </c>
      <c r="S89" s="19">
        <f t="shared" si="3"/>
        <v>6413.8804638715437</v>
      </c>
      <c r="T89" s="18">
        <v>69.63</v>
      </c>
      <c r="U89" s="18">
        <v>46.82</v>
      </c>
      <c r="V89" s="15">
        <v>1</v>
      </c>
      <c r="W89" s="18"/>
    </row>
    <row r="90" spans="1:23" x14ac:dyDescent="0.25">
      <c r="A90" s="12">
        <v>2025</v>
      </c>
      <c r="B90" s="3" t="s">
        <v>630</v>
      </c>
      <c r="C90" s="14" t="s">
        <v>244</v>
      </c>
      <c r="D90" s="14" t="s">
        <v>245</v>
      </c>
      <c r="E90" s="14" t="s">
        <v>246</v>
      </c>
      <c r="F90" s="15" t="s">
        <v>632</v>
      </c>
      <c r="G90" s="15">
        <v>102</v>
      </c>
      <c r="H90" s="15">
        <v>2</v>
      </c>
      <c r="I90" s="15">
        <v>1</v>
      </c>
      <c r="J90" s="15">
        <v>1</v>
      </c>
      <c r="K90" s="15">
        <v>2</v>
      </c>
      <c r="L90" t="s">
        <v>100</v>
      </c>
      <c r="M90" t="s">
        <v>30</v>
      </c>
      <c r="N90" s="18">
        <v>12.3</v>
      </c>
      <c r="O90" s="18">
        <v>11.4</v>
      </c>
      <c r="P90" s="18">
        <v>44.7</v>
      </c>
      <c r="Q90" s="27">
        <f t="shared" si="2"/>
        <v>12.383863636363637</v>
      </c>
      <c r="R90" s="18">
        <v>8109.34</v>
      </c>
      <c r="S90" s="19">
        <f t="shared" si="3"/>
        <v>7234.0231935771635</v>
      </c>
      <c r="T90" s="18">
        <v>69.010000000000005</v>
      </c>
      <c r="U90" s="18">
        <v>46.56</v>
      </c>
      <c r="V90" s="15">
        <v>2</v>
      </c>
      <c r="W90" s="18"/>
    </row>
    <row r="91" spans="1:23" x14ac:dyDescent="0.25">
      <c r="A91" s="12">
        <v>2025</v>
      </c>
      <c r="B91" s="3" t="s">
        <v>630</v>
      </c>
      <c r="C91" s="14" t="s">
        <v>244</v>
      </c>
      <c r="D91" s="14" t="s">
        <v>245</v>
      </c>
      <c r="E91" s="14" t="s">
        <v>246</v>
      </c>
      <c r="F91" s="15" t="s">
        <v>633</v>
      </c>
      <c r="G91" s="15">
        <v>103</v>
      </c>
      <c r="H91" s="15">
        <v>3</v>
      </c>
      <c r="I91" s="15">
        <v>1</v>
      </c>
      <c r="J91" s="15">
        <v>2</v>
      </c>
      <c r="K91" s="15">
        <v>8</v>
      </c>
      <c r="L91" t="s">
        <v>336</v>
      </c>
      <c r="M91" t="s">
        <v>603</v>
      </c>
      <c r="N91" s="18">
        <v>14.37</v>
      </c>
      <c r="O91" s="18">
        <v>12.5</v>
      </c>
      <c r="P91" s="18">
        <v>44.1</v>
      </c>
      <c r="Q91" s="27">
        <f t="shared" si="2"/>
        <v>14.288352272727272</v>
      </c>
      <c r="R91" s="18">
        <v>9356.4599999999991</v>
      </c>
      <c r="S91" s="19">
        <f t="shared" si="3"/>
        <v>8346.5298840321138</v>
      </c>
      <c r="T91" s="18">
        <v>69.209999999999994</v>
      </c>
      <c r="U91" s="18">
        <v>55.93</v>
      </c>
      <c r="V91" s="15">
        <v>0</v>
      </c>
      <c r="W91" s="18"/>
    </row>
    <row r="92" spans="1:23" x14ac:dyDescent="0.25">
      <c r="A92" s="12">
        <v>2025</v>
      </c>
      <c r="B92" s="3" t="s">
        <v>630</v>
      </c>
      <c r="C92" s="14" t="s">
        <v>244</v>
      </c>
      <c r="D92" s="14" t="s">
        <v>245</v>
      </c>
      <c r="E92" s="14" t="s">
        <v>246</v>
      </c>
      <c r="F92" s="15" t="s">
        <v>634</v>
      </c>
      <c r="G92" s="15">
        <v>104</v>
      </c>
      <c r="H92" s="15">
        <v>4</v>
      </c>
      <c r="I92" s="15">
        <v>1</v>
      </c>
      <c r="J92" s="15">
        <v>2</v>
      </c>
      <c r="K92" s="15">
        <v>5</v>
      </c>
      <c r="L92" t="s">
        <v>336</v>
      </c>
      <c r="M92" t="s">
        <v>538</v>
      </c>
      <c r="N92" s="18">
        <v>13.95</v>
      </c>
      <c r="O92" s="18">
        <v>12.7</v>
      </c>
      <c r="P92" s="18">
        <v>43.8</v>
      </c>
      <c r="Q92" s="27">
        <f t="shared" si="2"/>
        <v>13.839034090909092</v>
      </c>
      <c r="R92" s="18">
        <v>9062.23</v>
      </c>
      <c r="S92" s="19">
        <f t="shared" si="3"/>
        <v>8084.058876003568</v>
      </c>
      <c r="T92" s="18">
        <v>68.41</v>
      </c>
      <c r="U92" s="18">
        <v>53.67</v>
      </c>
      <c r="V92" s="15">
        <v>1</v>
      </c>
      <c r="W92" s="18"/>
    </row>
    <row r="93" spans="1:23" x14ac:dyDescent="0.25">
      <c r="A93" s="12">
        <v>2025</v>
      </c>
      <c r="B93" s="3" t="s">
        <v>630</v>
      </c>
      <c r="C93" s="14" t="s">
        <v>244</v>
      </c>
      <c r="D93" s="14" t="s">
        <v>245</v>
      </c>
      <c r="E93" s="14" t="s">
        <v>246</v>
      </c>
      <c r="F93" s="15" t="s">
        <v>635</v>
      </c>
      <c r="G93" s="15">
        <v>105</v>
      </c>
      <c r="H93" s="15">
        <v>5</v>
      </c>
      <c r="I93" s="15">
        <v>1</v>
      </c>
      <c r="J93" s="15">
        <v>3</v>
      </c>
      <c r="K93" s="15">
        <v>3</v>
      </c>
      <c r="L93" t="s">
        <v>100</v>
      </c>
      <c r="M93" t="s">
        <v>53</v>
      </c>
      <c r="N93" s="18">
        <v>12.23</v>
      </c>
      <c r="O93" s="18">
        <v>11.2</v>
      </c>
      <c r="P93" s="18">
        <v>44.6</v>
      </c>
      <c r="Q93" s="27">
        <f t="shared" si="2"/>
        <v>12.34118181818182</v>
      </c>
      <c r="R93" s="18">
        <v>8081.39</v>
      </c>
      <c r="S93" s="19">
        <f t="shared" si="3"/>
        <v>7209.0900981266732</v>
      </c>
      <c r="T93" s="18">
        <v>68.489999999999995</v>
      </c>
      <c r="U93" s="18">
        <v>47.84</v>
      </c>
      <c r="V93" s="15">
        <v>1</v>
      </c>
      <c r="W93" s="18"/>
    </row>
    <row r="94" spans="1:23" x14ac:dyDescent="0.25">
      <c r="A94" s="12">
        <v>2025</v>
      </c>
      <c r="B94" s="3" t="s">
        <v>630</v>
      </c>
      <c r="C94" s="14" t="s">
        <v>244</v>
      </c>
      <c r="D94" s="14" t="s">
        <v>245</v>
      </c>
      <c r="E94" s="14" t="s">
        <v>246</v>
      </c>
      <c r="F94" s="15" t="s">
        <v>636</v>
      </c>
      <c r="G94" s="15">
        <v>106</v>
      </c>
      <c r="H94" s="15">
        <v>6</v>
      </c>
      <c r="I94" s="15">
        <v>1</v>
      </c>
      <c r="J94" s="15">
        <v>3</v>
      </c>
      <c r="K94" s="15">
        <v>6</v>
      </c>
      <c r="L94" t="s">
        <v>336</v>
      </c>
      <c r="M94" t="s">
        <v>30</v>
      </c>
      <c r="N94" s="18">
        <v>13.68</v>
      </c>
      <c r="O94" s="18">
        <v>13</v>
      </c>
      <c r="P94" s="18">
        <v>43.7</v>
      </c>
      <c r="Q94" s="27">
        <f t="shared" si="2"/>
        <v>13.524545454545455</v>
      </c>
      <c r="R94" s="18">
        <v>8856.2999999999993</v>
      </c>
      <c r="S94" s="19">
        <f t="shared" si="3"/>
        <v>7900.3568242640495</v>
      </c>
      <c r="T94" s="18">
        <v>68.569999999999993</v>
      </c>
      <c r="U94" s="18">
        <v>53.79</v>
      </c>
      <c r="V94" s="15">
        <v>0</v>
      </c>
      <c r="W94" s="18"/>
    </row>
    <row r="95" spans="1:23" x14ac:dyDescent="0.25">
      <c r="A95" s="12">
        <v>2025</v>
      </c>
      <c r="B95" s="3" t="s">
        <v>630</v>
      </c>
      <c r="C95" s="14" t="s">
        <v>244</v>
      </c>
      <c r="D95" s="14" t="s">
        <v>245</v>
      </c>
      <c r="E95" s="14" t="s">
        <v>246</v>
      </c>
      <c r="F95" s="15" t="s">
        <v>637</v>
      </c>
      <c r="G95" s="15">
        <v>201</v>
      </c>
      <c r="H95" s="15">
        <v>1</v>
      </c>
      <c r="I95" s="15">
        <v>2</v>
      </c>
      <c r="J95" s="15">
        <v>1</v>
      </c>
      <c r="K95" s="15">
        <v>8</v>
      </c>
      <c r="L95" t="s">
        <v>336</v>
      </c>
      <c r="M95" t="s">
        <v>603</v>
      </c>
      <c r="N95" s="18">
        <v>13.24</v>
      </c>
      <c r="O95" s="18">
        <v>12.6</v>
      </c>
      <c r="P95" s="18">
        <v>43.9</v>
      </c>
      <c r="Q95" s="27">
        <f t="shared" si="2"/>
        <v>13.149727272727272</v>
      </c>
      <c r="R95" s="18">
        <v>8610.85</v>
      </c>
      <c r="S95" s="19">
        <f t="shared" si="3"/>
        <v>7681.4005352363965</v>
      </c>
      <c r="T95" s="18">
        <v>67.650000000000006</v>
      </c>
      <c r="U95" s="18">
        <v>50.7</v>
      </c>
      <c r="V95" s="15">
        <v>1</v>
      </c>
      <c r="W95" s="18"/>
    </row>
    <row r="96" spans="1:23" x14ac:dyDescent="0.25">
      <c r="A96" s="12">
        <v>2025</v>
      </c>
      <c r="B96" s="3" t="s">
        <v>630</v>
      </c>
      <c r="C96" s="14" t="s">
        <v>244</v>
      </c>
      <c r="D96" s="14" t="s">
        <v>245</v>
      </c>
      <c r="E96" s="14" t="s">
        <v>246</v>
      </c>
      <c r="F96" s="15" t="s">
        <v>638</v>
      </c>
      <c r="G96" s="15">
        <v>202</v>
      </c>
      <c r="H96" s="15">
        <v>2</v>
      </c>
      <c r="I96" s="15">
        <v>2</v>
      </c>
      <c r="J96" s="15">
        <v>1</v>
      </c>
      <c r="K96" s="15">
        <v>5</v>
      </c>
      <c r="L96" t="s">
        <v>336</v>
      </c>
      <c r="M96" t="s">
        <v>538</v>
      </c>
      <c r="N96" s="18">
        <v>14.05</v>
      </c>
      <c r="O96" s="18">
        <v>12.7</v>
      </c>
      <c r="P96" s="18">
        <v>43.9</v>
      </c>
      <c r="Q96" s="27">
        <f t="shared" si="2"/>
        <v>13.938238636363637</v>
      </c>
      <c r="R96" s="18">
        <v>9127.2000000000007</v>
      </c>
      <c r="S96" s="19">
        <f t="shared" si="3"/>
        <v>8142.0160570918833</v>
      </c>
      <c r="T96" s="18">
        <v>68.260000000000005</v>
      </c>
      <c r="U96" s="18">
        <v>52.08</v>
      </c>
      <c r="V96" s="15">
        <v>0</v>
      </c>
      <c r="W96" s="18"/>
    </row>
    <row r="97" spans="1:23" x14ac:dyDescent="0.25">
      <c r="A97" s="12">
        <v>2025</v>
      </c>
      <c r="B97" s="3" t="s">
        <v>630</v>
      </c>
      <c r="C97" s="14" t="s">
        <v>244</v>
      </c>
      <c r="D97" s="14" t="s">
        <v>245</v>
      </c>
      <c r="E97" s="14" t="s">
        <v>246</v>
      </c>
      <c r="F97" s="15" t="s">
        <v>639</v>
      </c>
      <c r="G97" s="15">
        <v>203</v>
      </c>
      <c r="H97" s="15">
        <v>3</v>
      </c>
      <c r="I97" s="15">
        <v>2</v>
      </c>
      <c r="J97" s="15">
        <v>2</v>
      </c>
      <c r="K97" s="15">
        <v>6</v>
      </c>
      <c r="L97" t="s">
        <v>336</v>
      </c>
      <c r="M97" t="s">
        <v>30</v>
      </c>
      <c r="N97" s="18">
        <v>14.4</v>
      </c>
      <c r="O97" s="18">
        <v>12.8</v>
      </c>
      <c r="P97" s="18">
        <v>43.8</v>
      </c>
      <c r="Q97" s="27">
        <f t="shared" si="2"/>
        <v>14.269090909090909</v>
      </c>
      <c r="R97" s="18">
        <v>9343.85</v>
      </c>
      <c r="S97" s="19">
        <f t="shared" si="3"/>
        <v>8335.2809991079394</v>
      </c>
      <c r="T97" s="18">
        <v>68.12</v>
      </c>
      <c r="U97" s="18">
        <v>53.36</v>
      </c>
      <c r="V97" s="15">
        <v>1</v>
      </c>
      <c r="W97" s="18"/>
    </row>
    <row r="98" spans="1:23" x14ac:dyDescent="0.25">
      <c r="A98" s="12">
        <v>2025</v>
      </c>
      <c r="B98" s="3" t="s">
        <v>630</v>
      </c>
      <c r="C98" s="14" t="s">
        <v>244</v>
      </c>
      <c r="D98" s="14" t="s">
        <v>245</v>
      </c>
      <c r="E98" s="14" t="s">
        <v>246</v>
      </c>
      <c r="F98" s="15" t="s">
        <v>640</v>
      </c>
      <c r="G98" s="15">
        <v>204</v>
      </c>
      <c r="H98" s="15">
        <v>4</v>
      </c>
      <c r="I98" s="15">
        <v>2</v>
      </c>
      <c r="J98" s="15">
        <v>2</v>
      </c>
      <c r="K98" s="15">
        <v>4</v>
      </c>
      <c r="L98" t="s">
        <v>100</v>
      </c>
      <c r="M98" t="s">
        <v>603</v>
      </c>
      <c r="N98" s="18">
        <v>14.43</v>
      </c>
      <c r="O98" s="18">
        <v>13.1</v>
      </c>
      <c r="P98" s="18">
        <v>43.8</v>
      </c>
      <c r="Q98" s="27">
        <f t="shared" si="2"/>
        <v>14.249624999999998</v>
      </c>
      <c r="R98" s="18">
        <v>9331.1</v>
      </c>
      <c r="S98" s="19">
        <f t="shared" si="3"/>
        <v>8323.9072256913478</v>
      </c>
      <c r="T98" s="18">
        <v>69.319999999999993</v>
      </c>
      <c r="U98" s="18">
        <v>50.62</v>
      </c>
      <c r="V98" s="15">
        <v>1</v>
      </c>
      <c r="W98" s="18"/>
    </row>
    <row r="99" spans="1:23" x14ac:dyDescent="0.25">
      <c r="A99" s="12">
        <v>2025</v>
      </c>
      <c r="B99" s="3" t="s">
        <v>630</v>
      </c>
      <c r="C99" s="14" t="s">
        <v>244</v>
      </c>
      <c r="D99" s="14" t="s">
        <v>245</v>
      </c>
      <c r="E99" s="14" t="s">
        <v>246</v>
      </c>
      <c r="F99" s="15" t="s">
        <v>641</v>
      </c>
      <c r="G99" s="15">
        <v>205</v>
      </c>
      <c r="H99" s="15">
        <v>5</v>
      </c>
      <c r="I99" s="15">
        <v>2</v>
      </c>
      <c r="J99" s="15">
        <v>3</v>
      </c>
      <c r="K99" s="15">
        <v>8</v>
      </c>
      <c r="L99" t="s">
        <v>336</v>
      </c>
      <c r="M99" t="s">
        <v>603</v>
      </c>
      <c r="N99" s="18">
        <v>16.079999999999998</v>
      </c>
      <c r="O99" s="18">
        <v>13.5</v>
      </c>
      <c r="P99" s="18">
        <v>43.4</v>
      </c>
      <c r="Q99" s="27">
        <f t="shared" si="2"/>
        <v>15.80590909090909</v>
      </c>
      <c r="R99" s="18">
        <v>10350.200000000001</v>
      </c>
      <c r="S99" s="19">
        <f t="shared" si="3"/>
        <v>9233.0062444246214</v>
      </c>
      <c r="T99" s="18">
        <v>67.22</v>
      </c>
      <c r="U99" s="18">
        <v>52.76</v>
      </c>
      <c r="V99" s="15">
        <v>0</v>
      </c>
      <c r="W99" s="18"/>
    </row>
    <row r="100" spans="1:23" x14ac:dyDescent="0.25">
      <c r="A100" s="12">
        <v>2025</v>
      </c>
      <c r="B100" s="3" t="s">
        <v>630</v>
      </c>
      <c r="C100" s="14" t="s">
        <v>244</v>
      </c>
      <c r="D100" s="14" t="s">
        <v>245</v>
      </c>
      <c r="E100" s="14" t="s">
        <v>246</v>
      </c>
      <c r="F100" s="15" t="s">
        <v>642</v>
      </c>
      <c r="G100" s="15">
        <v>206</v>
      </c>
      <c r="H100" s="15">
        <v>6</v>
      </c>
      <c r="I100" s="15">
        <v>2</v>
      </c>
      <c r="J100" s="15">
        <v>3</v>
      </c>
      <c r="K100" s="15">
        <v>1</v>
      </c>
      <c r="L100" t="s">
        <v>100</v>
      </c>
      <c r="M100" t="s">
        <v>538</v>
      </c>
      <c r="N100" s="18">
        <v>12.34</v>
      </c>
      <c r="O100" s="18">
        <v>11.4</v>
      </c>
      <c r="P100" s="18">
        <v>44.7</v>
      </c>
      <c r="Q100" s="27">
        <f t="shared" si="2"/>
        <v>12.424136363636363</v>
      </c>
      <c r="R100" s="18">
        <v>8135.71</v>
      </c>
      <c r="S100" s="19">
        <f t="shared" si="3"/>
        <v>7257.5468331846569</v>
      </c>
      <c r="T100" s="18">
        <v>68.73</v>
      </c>
      <c r="U100" s="18">
        <v>47.2</v>
      </c>
      <c r="V100" s="15">
        <v>1</v>
      </c>
      <c r="W100" s="18"/>
    </row>
    <row r="101" spans="1:23" x14ac:dyDescent="0.25">
      <c r="A101" s="12">
        <v>2025</v>
      </c>
      <c r="B101" s="3" t="s">
        <v>630</v>
      </c>
      <c r="C101" s="14" t="s">
        <v>244</v>
      </c>
      <c r="D101" s="14" t="s">
        <v>245</v>
      </c>
      <c r="E101" s="14" t="s">
        <v>246</v>
      </c>
      <c r="F101" s="15" t="s">
        <v>643</v>
      </c>
      <c r="G101" s="15">
        <v>301</v>
      </c>
      <c r="H101" s="15">
        <v>1</v>
      </c>
      <c r="I101" s="15">
        <v>3</v>
      </c>
      <c r="J101" s="15">
        <v>1</v>
      </c>
      <c r="K101" s="15">
        <v>7</v>
      </c>
      <c r="L101" t="s">
        <v>336</v>
      </c>
      <c r="M101" t="s">
        <v>53</v>
      </c>
      <c r="N101" s="18">
        <v>15.04</v>
      </c>
      <c r="O101" s="18">
        <v>13.1</v>
      </c>
      <c r="P101" s="18">
        <v>43.7</v>
      </c>
      <c r="Q101" s="27">
        <f t="shared" si="2"/>
        <v>14.851999999999999</v>
      </c>
      <c r="R101" s="18">
        <v>9725.56</v>
      </c>
      <c r="S101" s="19">
        <f t="shared" si="3"/>
        <v>8675.78947368421</v>
      </c>
      <c r="T101" s="18">
        <v>68.72</v>
      </c>
      <c r="U101" s="18">
        <v>54.41</v>
      </c>
      <c r="V101" s="15">
        <v>1</v>
      </c>
      <c r="W101" s="18"/>
    </row>
    <row r="102" spans="1:23" x14ac:dyDescent="0.25">
      <c r="A102" s="12">
        <v>2025</v>
      </c>
      <c r="B102" s="3" t="s">
        <v>630</v>
      </c>
      <c r="C102" s="14" t="s">
        <v>244</v>
      </c>
      <c r="D102" s="14" t="s">
        <v>245</v>
      </c>
      <c r="E102" s="14" t="s">
        <v>246</v>
      </c>
      <c r="F102" s="15" t="s">
        <v>644</v>
      </c>
      <c r="G102" s="15">
        <v>302</v>
      </c>
      <c r="H102" s="15">
        <v>2</v>
      </c>
      <c r="I102" s="15">
        <v>3</v>
      </c>
      <c r="J102" s="15">
        <v>1</v>
      </c>
      <c r="K102" s="15">
        <v>1</v>
      </c>
      <c r="L102" t="s">
        <v>100</v>
      </c>
      <c r="M102" t="s">
        <v>538</v>
      </c>
      <c r="N102" s="18">
        <v>14.52</v>
      </c>
      <c r="O102" s="18">
        <v>12.2</v>
      </c>
      <c r="P102" s="18">
        <v>44.6</v>
      </c>
      <c r="Q102" s="27">
        <f t="shared" si="2"/>
        <v>14.487</v>
      </c>
      <c r="R102" s="18">
        <v>9486.5400000000009</v>
      </c>
      <c r="S102" s="19">
        <f t="shared" si="3"/>
        <v>8462.5691347011598</v>
      </c>
      <c r="T102" s="18">
        <v>70.3</v>
      </c>
      <c r="U102" s="18">
        <v>51.24</v>
      </c>
      <c r="V102" s="15">
        <v>1</v>
      </c>
      <c r="W102" s="18"/>
    </row>
    <row r="103" spans="1:23" x14ac:dyDescent="0.25">
      <c r="A103" s="12">
        <v>2025</v>
      </c>
      <c r="B103" s="3" t="s">
        <v>630</v>
      </c>
      <c r="C103" s="14" t="s">
        <v>244</v>
      </c>
      <c r="D103" s="14" t="s">
        <v>245</v>
      </c>
      <c r="E103" s="14" t="s">
        <v>246</v>
      </c>
      <c r="F103" s="15" t="s">
        <v>645</v>
      </c>
      <c r="G103" s="15">
        <v>303</v>
      </c>
      <c r="H103" s="15">
        <v>3</v>
      </c>
      <c r="I103" s="15">
        <v>3</v>
      </c>
      <c r="J103" s="15">
        <v>2</v>
      </c>
      <c r="K103" s="15">
        <v>2</v>
      </c>
      <c r="L103" t="s">
        <v>100</v>
      </c>
      <c r="M103" t="s">
        <v>30</v>
      </c>
      <c r="N103" s="18">
        <v>13.29</v>
      </c>
      <c r="O103" s="18">
        <v>10.1</v>
      </c>
      <c r="P103" s="18">
        <v>45.2</v>
      </c>
      <c r="Q103" s="27">
        <f t="shared" si="2"/>
        <v>13.57694318181818</v>
      </c>
      <c r="R103" s="18">
        <v>8890.61</v>
      </c>
      <c r="S103" s="19">
        <f t="shared" si="3"/>
        <v>7930.9634255129358</v>
      </c>
      <c r="T103" s="18">
        <v>68.53</v>
      </c>
      <c r="U103" s="18">
        <v>46.2</v>
      </c>
      <c r="V103" s="15">
        <v>2</v>
      </c>
      <c r="W103" s="18"/>
    </row>
    <row r="104" spans="1:23" x14ac:dyDescent="0.25">
      <c r="A104" s="12">
        <v>2025</v>
      </c>
      <c r="B104" s="3" t="s">
        <v>630</v>
      </c>
      <c r="C104" s="14" t="s">
        <v>244</v>
      </c>
      <c r="D104" s="14" t="s">
        <v>245</v>
      </c>
      <c r="E104" s="14" t="s">
        <v>246</v>
      </c>
      <c r="F104" s="15" t="s">
        <v>646</v>
      </c>
      <c r="G104" s="15">
        <v>304</v>
      </c>
      <c r="H104" s="15">
        <v>4</v>
      </c>
      <c r="I104" s="15">
        <v>3</v>
      </c>
      <c r="J104" s="15">
        <v>2</v>
      </c>
      <c r="K104" s="15">
        <v>7</v>
      </c>
      <c r="L104" t="s">
        <v>336</v>
      </c>
      <c r="M104" t="s">
        <v>53</v>
      </c>
      <c r="N104" s="18">
        <v>13.86</v>
      </c>
      <c r="O104" s="18">
        <v>13.2</v>
      </c>
      <c r="P104" s="18">
        <v>43.6</v>
      </c>
      <c r="Q104" s="27">
        <f t="shared" si="2"/>
        <v>13.670999999999999</v>
      </c>
      <c r="R104" s="18">
        <v>8952.2000000000007</v>
      </c>
      <c r="S104" s="19">
        <f t="shared" si="3"/>
        <v>7985.9054415700275</v>
      </c>
      <c r="T104" s="18">
        <v>68.23</v>
      </c>
      <c r="U104" s="18">
        <v>52.9</v>
      </c>
      <c r="V104" s="15">
        <v>0</v>
      </c>
      <c r="W104" s="18"/>
    </row>
    <row r="105" spans="1:23" x14ac:dyDescent="0.25">
      <c r="A105" s="12">
        <v>2025</v>
      </c>
      <c r="B105" s="3" t="s">
        <v>630</v>
      </c>
      <c r="C105" s="14" t="s">
        <v>244</v>
      </c>
      <c r="D105" s="14" t="s">
        <v>245</v>
      </c>
      <c r="E105" s="14" t="s">
        <v>246</v>
      </c>
      <c r="F105" s="15" t="s">
        <v>647</v>
      </c>
      <c r="G105" s="15">
        <v>305</v>
      </c>
      <c r="H105" s="15">
        <v>5</v>
      </c>
      <c r="I105" s="15">
        <v>3</v>
      </c>
      <c r="J105" s="15">
        <v>3</v>
      </c>
      <c r="K105" s="15">
        <v>2</v>
      </c>
      <c r="L105" t="s">
        <v>100</v>
      </c>
      <c r="M105" t="s">
        <v>30</v>
      </c>
      <c r="N105" s="18">
        <v>14.07</v>
      </c>
      <c r="O105" s="18">
        <v>12.3</v>
      </c>
      <c r="P105" s="18">
        <v>44.4</v>
      </c>
      <c r="Q105" s="27">
        <f t="shared" si="2"/>
        <v>14.022034090909091</v>
      </c>
      <c r="R105" s="18">
        <v>9182.07</v>
      </c>
      <c r="S105" s="19">
        <f t="shared" si="3"/>
        <v>8190.9634255129349</v>
      </c>
      <c r="T105" s="18">
        <v>69.14</v>
      </c>
      <c r="U105" s="18">
        <v>50.79</v>
      </c>
      <c r="V105" s="15">
        <v>2</v>
      </c>
      <c r="W105" s="18"/>
    </row>
    <row r="106" spans="1:23" x14ac:dyDescent="0.25">
      <c r="A106" s="12">
        <v>2025</v>
      </c>
      <c r="B106" s="3" t="s">
        <v>630</v>
      </c>
      <c r="C106" s="14" t="s">
        <v>244</v>
      </c>
      <c r="D106" s="14" t="s">
        <v>245</v>
      </c>
      <c r="E106" s="14" t="s">
        <v>246</v>
      </c>
      <c r="F106" s="15" t="s">
        <v>648</v>
      </c>
      <c r="G106" s="15">
        <v>306</v>
      </c>
      <c r="H106" s="15">
        <v>6</v>
      </c>
      <c r="I106" s="15">
        <v>3</v>
      </c>
      <c r="J106" s="15">
        <v>3</v>
      </c>
      <c r="K106" s="15">
        <v>4</v>
      </c>
      <c r="L106" t="s">
        <v>100</v>
      </c>
      <c r="M106" t="s">
        <v>603</v>
      </c>
      <c r="N106" s="18">
        <v>14.7</v>
      </c>
      <c r="O106" s="18">
        <v>13.8</v>
      </c>
      <c r="P106" s="18">
        <v>43.2</v>
      </c>
      <c r="Q106" s="27">
        <f t="shared" si="2"/>
        <v>14.399318181818179</v>
      </c>
      <c r="R106" s="18">
        <v>9429.1299999999992</v>
      </c>
      <c r="S106" s="19">
        <f t="shared" si="3"/>
        <v>8411.3559322033889</v>
      </c>
      <c r="T106" s="18">
        <v>69.540000000000006</v>
      </c>
      <c r="U106" s="18">
        <v>53.56</v>
      </c>
      <c r="V106" s="15">
        <v>1</v>
      </c>
      <c r="W106" s="18"/>
    </row>
    <row r="107" spans="1:23" x14ac:dyDescent="0.25">
      <c r="A107" s="12">
        <v>2025</v>
      </c>
      <c r="B107" s="3" t="s">
        <v>630</v>
      </c>
      <c r="C107" s="14" t="s">
        <v>244</v>
      </c>
      <c r="D107" s="14" t="s">
        <v>245</v>
      </c>
      <c r="E107" s="14" t="s">
        <v>246</v>
      </c>
      <c r="F107" s="15" t="s">
        <v>649</v>
      </c>
      <c r="G107" s="15">
        <v>401</v>
      </c>
      <c r="H107" s="15">
        <v>1</v>
      </c>
      <c r="I107" s="15">
        <v>4</v>
      </c>
      <c r="J107" s="15">
        <v>1</v>
      </c>
      <c r="K107" s="15">
        <v>6</v>
      </c>
      <c r="L107" t="s">
        <v>336</v>
      </c>
      <c r="M107" t="s">
        <v>30</v>
      </c>
      <c r="N107" s="18">
        <v>13.73</v>
      </c>
      <c r="O107" s="18">
        <v>13</v>
      </c>
      <c r="P107" s="18">
        <v>43.6</v>
      </c>
      <c r="Q107" s="27">
        <f t="shared" si="2"/>
        <v>13.573977272727273</v>
      </c>
      <c r="R107" s="18">
        <v>8888.67</v>
      </c>
      <c r="S107" s="19">
        <f t="shared" si="3"/>
        <v>7929.232827832293</v>
      </c>
      <c r="T107" s="18">
        <v>68.489999999999995</v>
      </c>
      <c r="U107" s="18">
        <v>53.52</v>
      </c>
      <c r="V107" s="15">
        <v>0</v>
      </c>
      <c r="W107" s="18"/>
    </row>
    <row r="108" spans="1:23" x14ac:dyDescent="0.25">
      <c r="A108" s="12">
        <v>2025</v>
      </c>
      <c r="B108" s="3" t="s">
        <v>630</v>
      </c>
      <c r="C108" s="14" t="s">
        <v>244</v>
      </c>
      <c r="D108" s="14" t="s">
        <v>245</v>
      </c>
      <c r="E108" s="14" t="s">
        <v>246</v>
      </c>
      <c r="F108" s="15" t="s">
        <v>650</v>
      </c>
      <c r="G108" s="15">
        <v>402</v>
      </c>
      <c r="H108" s="15">
        <v>2</v>
      </c>
      <c r="I108" s="15">
        <v>4</v>
      </c>
      <c r="J108" s="15">
        <v>1</v>
      </c>
      <c r="K108" s="15">
        <v>3</v>
      </c>
      <c r="L108" t="s">
        <v>100</v>
      </c>
      <c r="M108" t="s">
        <v>53</v>
      </c>
      <c r="N108" s="18">
        <v>13.6</v>
      </c>
      <c r="O108" s="18">
        <v>12.4</v>
      </c>
      <c r="P108" s="18">
        <v>44.3</v>
      </c>
      <c r="Q108" s="27">
        <f t="shared" si="2"/>
        <v>13.538181818181817</v>
      </c>
      <c r="R108" s="18">
        <v>8865.23</v>
      </c>
      <c r="S108" s="19">
        <f t="shared" si="3"/>
        <v>7908.3229259589652</v>
      </c>
      <c r="T108" s="18">
        <v>69.010000000000005</v>
      </c>
      <c r="U108" s="18">
        <v>47.76</v>
      </c>
      <c r="V108" s="15">
        <v>0</v>
      </c>
      <c r="W108" s="18"/>
    </row>
    <row r="109" spans="1:23" x14ac:dyDescent="0.25">
      <c r="A109" s="12">
        <v>2025</v>
      </c>
      <c r="B109" s="3" t="s">
        <v>630</v>
      </c>
      <c r="C109" s="14" t="s">
        <v>244</v>
      </c>
      <c r="D109" s="14" t="s">
        <v>245</v>
      </c>
      <c r="E109" s="14" t="s">
        <v>246</v>
      </c>
      <c r="F109" s="15" t="s">
        <v>651</v>
      </c>
      <c r="G109" s="15">
        <v>403</v>
      </c>
      <c r="H109" s="15">
        <v>3</v>
      </c>
      <c r="I109" s="15">
        <v>4</v>
      </c>
      <c r="J109" s="15">
        <v>2</v>
      </c>
      <c r="K109" s="15">
        <v>1</v>
      </c>
      <c r="L109" t="s">
        <v>100</v>
      </c>
      <c r="M109" t="s">
        <v>538</v>
      </c>
      <c r="N109" s="18">
        <v>11.14</v>
      </c>
      <c r="O109" s="18">
        <v>13.3</v>
      </c>
      <c r="P109" s="18">
        <v>43.6</v>
      </c>
      <c r="Q109" s="27">
        <f t="shared" si="2"/>
        <v>10.97543181818182</v>
      </c>
      <c r="R109" s="18">
        <v>7187.06</v>
      </c>
      <c r="S109" s="19">
        <f t="shared" si="3"/>
        <v>6411.2934879571812</v>
      </c>
      <c r="T109" s="18">
        <v>69.010000000000005</v>
      </c>
      <c r="U109" s="18">
        <v>48.13</v>
      </c>
      <c r="V109" s="15">
        <v>1</v>
      </c>
      <c r="W109" s="18"/>
    </row>
    <row r="110" spans="1:23" x14ac:dyDescent="0.25">
      <c r="A110" s="12">
        <v>2025</v>
      </c>
      <c r="B110" s="3" t="s">
        <v>630</v>
      </c>
      <c r="C110" s="14" t="s">
        <v>244</v>
      </c>
      <c r="D110" s="14" t="s">
        <v>245</v>
      </c>
      <c r="E110" s="14" t="s">
        <v>246</v>
      </c>
      <c r="F110" s="15" t="s">
        <v>652</v>
      </c>
      <c r="G110" s="15">
        <v>404</v>
      </c>
      <c r="H110" s="15">
        <v>4</v>
      </c>
      <c r="I110" s="15">
        <v>4</v>
      </c>
      <c r="J110" s="15">
        <v>2</v>
      </c>
      <c r="K110" s="15">
        <v>3</v>
      </c>
      <c r="L110" t="s">
        <v>100</v>
      </c>
      <c r="M110" t="s">
        <v>53</v>
      </c>
      <c r="N110" s="18">
        <v>14.21</v>
      </c>
      <c r="O110" s="18">
        <v>13.1</v>
      </c>
      <c r="P110" s="18">
        <v>43.8</v>
      </c>
      <c r="Q110" s="27">
        <f t="shared" si="2"/>
        <v>14.032375</v>
      </c>
      <c r="R110" s="18">
        <v>9188.84</v>
      </c>
      <c r="S110" s="19">
        <f t="shared" si="3"/>
        <v>8197.0026761819809</v>
      </c>
      <c r="T110" s="18">
        <v>69.28</v>
      </c>
      <c r="U110" s="18">
        <v>50.8</v>
      </c>
      <c r="V110" s="15">
        <v>1</v>
      </c>
      <c r="W110" s="18"/>
    </row>
    <row r="111" spans="1:23" x14ac:dyDescent="0.25">
      <c r="A111" s="12">
        <v>2025</v>
      </c>
      <c r="B111" s="3" t="s">
        <v>630</v>
      </c>
      <c r="C111" s="14" t="s">
        <v>244</v>
      </c>
      <c r="D111" s="14" t="s">
        <v>245</v>
      </c>
      <c r="E111" s="14" t="s">
        <v>246</v>
      </c>
      <c r="F111" s="15" t="s">
        <v>653</v>
      </c>
      <c r="G111" s="15">
        <v>405</v>
      </c>
      <c r="H111" s="15">
        <v>5</v>
      </c>
      <c r="I111" s="15">
        <v>4</v>
      </c>
      <c r="J111" s="15">
        <v>3</v>
      </c>
      <c r="K111" s="15">
        <v>5</v>
      </c>
      <c r="L111" t="s">
        <v>336</v>
      </c>
      <c r="M111" t="s">
        <v>538</v>
      </c>
      <c r="N111" s="18">
        <v>16.91</v>
      </c>
      <c r="O111" s="18">
        <v>13.6</v>
      </c>
      <c r="P111" s="18">
        <v>43.5</v>
      </c>
      <c r="Q111" s="27">
        <f t="shared" si="2"/>
        <v>16.602545454545453</v>
      </c>
      <c r="R111" s="18">
        <v>10871.87</v>
      </c>
      <c r="S111" s="19">
        <f t="shared" si="3"/>
        <v>9698.367528991972</v>
      </c>
      <c r="T111" s="18">
        <v>67.819999999999993</v>
      </c>
      <c r="U111" s="18">
        <v>55.6</v>
      </c>
      <c r="V111" s="15">
        <v>1</v>
      </c>
      <c r="W111" s="18"/>
    </row>
    <row r="112" spans="1:23" x14ac:dyDescent="0.25">
      <c r="A112" s="12">
        <v>2025</v>
      </c>
      <c r="B112" s="3" t="s">
        <v>630</v>
      </c>
      <c r="C112" s="14" t="s">
        <v>244</v>
      </c>
      <c r="D112" s="14" t="s">
        <v>245</v>
      </c>
      <c r="E112" s="14" t="s">
        <v>246</v>
      </c>
      <c r="F112" s="15" t="s">
        <v>654</v>
      </c>
      <c r="G112" s="15">
        <v>406</v>
      </c>
      <c r="H112" s="15">
        <v>6</v>
      </c>
      <c r="I112" s="15">
        <v>4</v>
      </c>
      <c r="J112" s="15">
        <v>3</v>
      </c>
      <c r="K112" s="15">
        <v>7</v>
      </c>
      <c r="L112" t="s">
        <v>336</v>
      </c>
      <c r="M112" t="s">
        <v>53</v>
      </c>
      <c r="N112" s="18">
        <v>13.98</v>
      </c>
      <c r="O112" s="18">
        <v>12.9</v>
      </c>
      <c r="P112" s="18">
        <v>43.8</v>
      </c>
      <c r="Q112" s="27">
        <f t="shared" si="2"/>
        <v>13.837022727272727</v>
      </c>
      <c r="R112" s="18">
        <v>9060.92</v>
      </c>
      <c r="S112" s="19">
        <f t="shared" si="3"/>
        <v>8082.8902765388048</v>
      </c>
      <c r="T112" s="18">
        <v>68.16</v>
      </c>
      <c r="U112" s="18">
        <v>54.07</v>
      </c>
      <c r="V112" s="15">
        <v>0</v>
      </c>
      <c r="W112" s="18"/>
    </row>
    <row r="113" spans="1:23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6"/>
      <c r="M113" s="17"/>
      <c r="N113" s="17"/>
      <c r="O113" s="17"/>
      <c r="P113" s="18"/>
      <c r="Q113" s="18"/>
      <c r="R113" s="18"/>
      <c r="S113" s="18"/>
      <c r="T113" s="18"/>
      <c r="U113" s="19"/>
      <c r="V113" s="18"/>
      <c r="W113" s="18"/>
    </row>
    <row r="114" spans="1:23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6"/>
      <c r="M114" s="17"/>
      <c r="N114" s="17"/>
      <c r="O114" s="17"/>
      <c r="P114" s="18"/>
      <c r="Q114" s="18"/>
      <c r="R114" s="18"/>
      <c r="S114" s="18"/>
      <c r="T114" s="18"/>
      <c r="U114" s="19"/>
      <c r="V114" s="18"/>
      <c r="W114" s="18"/>
    </row>
    <row r="115" spans="1:23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6"/>
      <c r="M115" s="17"/>
      <c r="N115" s="17"/>
      <c r="O115" s="17"/>
      <c r="P115" s="18"/>
      <c r="Q115" s="18"/>
      <c r="R115" s="18"/>
      <c r="S115" s="18"/>
      <c r="T115" s="18"/>
      <c r="U115" s="19"/>
      <c r="V115" s="18"/>
      <c r="W115" s="18"/>
    </row>
    <row r="116" spans="1:23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6"/>
      <c r="M116" s="17"/>
      <c r="N116" s="17"/>
      <c r="O116" s="17"/>
      <c r="P116" s="18"/>
      <c r="Q116" s="18"/>
      <c r="R116" s="18"/>
      <c r="S116" s="18"/>
      <c r="T116" s="18"/>
      <c r="U116" s="19"/>
      <c r="V116" s="18"/>
      <c r="W116" s="18"/>
    </row>
    <row r="117" spans="1:23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6"/>
      <c r="M117" s="17"/>
      <c r="N117" s="17"/>
      <c r="O117" s="17"/>
      <c r="P117" s="18"/>
      <c r="Q117" s="18"/>
      <c r="R117" s="18"/>
      <c r="S117" s="18"/>
      <c r="T117" s="18"/>
      <c r="U117" s="19"/>
      <c r="V117" s="18"/>
      <c r="W117" s="18"/>
    </row>
    <row r="118" spans="1:23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6"/>
      <c r="M118" s="17"/>
      <c r="N118" s="17"/>
      <c r="O118" s="17"/>
      <c r="P118" s="18"/>
      <c r="Q118" s="18"/>
      <c r="R118" s="18"/>
      <c r="S118" s="18"/>
      <c r="T118" s="18"/>
      <c r="U118" s="19"/>
      <c r="V118" s="18"/>
      <c r="W118" s="18"/>
    </row>
    <row r="119" spans="1:23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6"/>
      <c r="M119" s="17"/>
      <c r="N119" s="17"/>
      <c r="O119" s="17"/>
      <c r="P119" s="18"/>
      <c r="Q119" s="18"/>
      <c r="R119" s="18"/>
      <c r="S119" s="18"/>
      <c r="T119" s="18"/>
      <c r="U119" s="19"/>
      <c r="V119" s="18"/>
      <c r="W119" s="18"/>
    </row>
    <row r="120" spans="1:23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6"/>
      <c r="M120" s="17"/>
      <c r="N120" s="17"/>
      <c r="O120" s="17"/>
      <c r="P120" s="18"/>
      <c r="Q120" s="18"/>
      <c r="R120" s="18"/>
      <c r="S120" s="18"/>
      <c r="T120" s="18"/>
      <c r="U120" s="19"/>
      <c r="V120" s="18"/>
      <c r="W120" s="18"/>
    </row>
    <row r="121" spans="1:23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6"/>
      <c r="M121" s="17"/>
      <c r="N121" s="17"/>
      <c r="O121" s="17"/>
      <c r="P121" s="18"/>
      <c r="Q121" s="18"/>
      <c r="R121" s="18"/>
      <c r="S121" s="18"/>
      <c r="T121" s="18"/>
      <c r="U121" s="19"/>
      <c r="V121" s="18"/>
      <c r="W121" s="18"/>
    </row>
    <row r="122" spans="1:23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6"/>
      <c r="M122" s="17"/>
      <c r="N122" s="17"/>
      <c r="O122" s="17"/>
      <c r="P122" s="18"/>
      <c r="Q122" s="18"/>
      <c r="R122" s="18"/>
      <c r="S122" s="18"/>
      <c r="T122" s="18"/>
      <c r="U122" s="19"/>
      <c r="V122" s="18"/>
      <c r="W122" s="18"/>
    </row>
    <row r="123" spans="1:23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6"/>
      <c r="M123" s="17"/>
      <c r="N123" s="17"/>
      <c r="O123" s="17"/>
      <c r="P123" s="18"/>
      <c r="Q123" s="18"/>
      <c r="R123" s="18"/>
      <c r="S123" s="18"/>
      <c r="T123" s="18"/>
      <c r="U123" s="19"/>
      <c r="V123" s="18"/>
      <c r="W123" s="18"/>
    </row>
    <row r="124" spans="1:23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6"/>
      <c r="M124" s="17"/>
      <c r="N124" s="17"/>
      <c r="O124" s="17"/>
      <c r="P124" s="18"/>
      <c r="Q124" s="18"/>
      <c r="R124" s="18"/>
      <c r="S124" s="18"/>
      <c r="T124" s="18"/>
      <c r="U124" s="19"/>
      <c r="V124" s="18"/>
      <c r="W124" s="18"/>
    </row>
    <row r="125" spans="1:23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6"/>
      <c r="M125" s="17"/>
      <c r="N125" s="17"/>
      <c r="O125" s="17"/>
      <c r="P125" s="18"/>
      <c r="Q125" s="18"/>
      <c r="R125" s="18"/>
      <c r="S125" s="18"/>
      <c r="T125" s="18"/>
      <c r="U125" s="19"/>
      <c r="V125" s="18"/>
      <c r="W125" s="18"/>
    </row>
    <row r="126" spans="1:23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6"/>
      <c r="M126" s="17"/>
      <c r="N126" s="17"/>
      <c r="O126" s="17"/>
      <c r="P126" s="18"/>
      <c r="Q126" s="18"/>
      <c r="R126" s="18"/>
      <c r="S126" s="18"/>
      <c r="T126" s="18"/>
      <c r="U126" s="19"/>
      <c r="V126" s="18"/>
      <c r="W126" s="18"/>
    </row>
    <row r="127" spans="1:23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6"/>
      <c r="M127" s="17"/>
      <c r="N127" s="17"/>
      <c r="O127" s="17"/>
      <c r="P127" s="18"/>
      <c r="Q127" s="18"/>
      <c r="R127" s="18"/>
      <c r="S127" s="18"/>
      <c r="T127" s="18"/>
      <c r="U127" s="19"/>
      <c r="V127" s="18"/>
      <c r="W127" s="18"/>
    </row>
    <row r="128" spans="1:23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6"/>
      <c r="M128" s="17"/>
      <c r="N128" s="17"/>
      <c r="O128" s="17"/>
      <c r="P128" s="18"/>
      <c r="Q128" s="18"/>
      <c r="R128" s="18"/>
      <c r="S128" s="18"/>
      <c r="T128" s="18"/>
      <c r="U128" s="19"/>
      <c r="V128" s="18"/>
      <c r="W128" s="18"/>
    </row>
    <row r="129" spans="1:23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6"/>
      <c r="M129" s="17"/>
      <c r="N129" s="17"/>
      <c r="O129" s="17"/>
      <c r="P129" s="18"/>
      <c r="Q129" s="18"/>
      <c r="R129" s="18"/>
      <c r="S129" s="18"/>
      <c r="T129" s="18"/>
      <c r="U129" s="19"/>
      <c r="V129" s="18"/>
      <c r="W129" s="18"/>
    </row>
    <row r="130" spans="1:23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6"/>
      <c r="M130" s="17"/>
      <c r="N130" s="17"/>
      <c r="O130" s="17"/>
      <c r="P130" s="18"/>
      <c r="Q130" s="18"/>
      <c r="R130" s="18"/>
      <c r="S130" s="18"/>
      <c r="T130" s="18"/>
      <c r="U130" s="19"/>
      <c r="V130" s="18"/>
      <c r="W130" s="18"/>
    </row>
    <row r="131" spans="1:23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6"/>
      <c r="M131" s="17"/>
      <c r="N131" s="17"/>
      <c r="O131" s="17"/>
      <c r="P131" s="18"/>
      <c r="Q131" s="18"/>
      <c r="R131" s="18"/>
      <c r="S131" s="18"/>
      <c r="T131" s="18"/>
      <c r="U131" s="19"/>
      <c r="V131" s="18"/>
      <c r="W131" s="18"/>
    </row>
    <row r="132" spans="1:23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6"/>
      <c r="M132" s="17"/>
      <c r="N132" s="17"/>
      <c r="O132" s="17"/>
      <c r="P132" s="18"/>
      <c r="Q132" s="18"/>
      <c r="R132" s="18"/>
      <c r="S132" s="18"/>
      <c r="T132" s="18"/>
      <c r="U132" s="19"/>
      <c r="V132" s="18"/>
      <c r="W132" s="18"/>
    </row>
    <row r="133" spans="1:23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6"/>
      <c r="M133" s="17"/>
      <c r="N133" s="17"/>
      <c r="O133" s="17"/>
      <c r="P133" s="18"/>
      <c r="Q133" s="18"/>
      <c r="R133" s="18"/>
      <c r="S133" s="18"/>
      <c r="T133" s="18"/>
      <c r="U133" s="19"/>
      <c r="V133" s="18"/>
      <c r="W133" s="18"/>
    </row>
    <row r="134" spans="1:23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6"/>
      <c r="M134" s="17"/>
      <c r="N134" s="17"/>
      <c r="O134" s="17"/>
      <c r="P134" s="18"/>
      <c r="Q134" s="18"/>
      <c r="R134" s="18"/>
      <c r="S134" s="18"/>
      <c r="T134" s="18"/>
      <c r="U134" s="19"/>
      <c r="V134" s="18"/>
      <c r="W134" s="18"/>
    </row>
    <row r="135" spans="1:23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6"/>
      <c r="M135" s="17"/>
      <c r="N135" s="17"/>
      <c r="O135" s="17"/>
      <c r="P135" s="18"/>
      <c r="Q135" s="18"/>
      <c r="R135" s="18"/>
      <c r="S135" s="18"/>
      <c r="T135" s="18"/>
      <c r="U135" s="19"/>
      <c r="V135" s="18"/>
      <c r="W135" s="18"/>
    </row>
    <row r="136" spans="1:23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6"/>
      <c r="M136" s="17"/>
      <c r="N136" s="17"/>
      <c r="O136" s="17"/>
      <c r="P136" s="18"/>
      <c r="Q136" s="18"/>
      <c r="R136" s="18"/>
      <c r="S136" s="18"/>
      <c r="T136" s="18"/>
      <c r="U136" s="19"/>
      <c r="V136" s="18"/>
      <c r="W136" s="18"/>
    </row>
    <row r="137" spans="1:23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6"/>
      <c r="M137" s="17"/>
      <c r="N137" s="17"/>
      <c r="O137" s="17"/>
      <c r="P137" s="18"/>
      <c r="Q137" s="18"/>
      <c r="R137" s="18"/>
      <c r="S137" s="18"/>
      <c r="T137" s="18"/>
      <c r="U137" s="19"/>
      <c r="V137" s="18"/>
      <c r="W137" s="18"/>
    </row>
    <row r="138" spans="1:23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6"/>
      <c r="M138" s="17"/>
      <c r="N138" s="17"/>
      <c r="O138" s="17"/>
      <c r="P138" s="18"/>
      <c r="Q138" s="18"/>
      <c r="R138" s="18"/>
      <c r="S138" s="18"/>
      <c r="T138" s="18"/>
      <c r="U138" s="19"/>
      <c r="V138" s="18"/>
      <c r="W138" s="18"/>
    </row>
    <row r="139" spans="1:23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6"/>
      <c r="M139" s="17"/>
      <c r="N139" s="17"/>
      <c r="O139" s="17"/>
      <c r="P139" s="18"/>
      <c r="Q139" s="18"/>
      <c r="R139" s="18"/>
      <c r="S139" s="18"/>
      <c r="T139" s="18"/>
      <c r="U139" s="19"/>
      <c r="V139" s="18"/>
      <c r="W139" s="18"/>
    </row>
    <row r="140" spans="1:23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6"/>
      <c r="M140" s="17"/>
      <c r="N140" s="17"/>
      <c r="O140" s="17"/>
      <c r="P140" s="18"/>
      <c r="Q140" s="18"/>
      <c r="R140" s="18"/>
      <c r="S140" s="18"/>
      <c r="T140" s="18"/>
      <c r="U140" s="19"/>
      <c r="V140" s="18"/>
      <c r="W140" s="18"/>
    </row>
    <row r="141" spans="1:23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6"/>
      <c r="M141" s="17"/>
      <c r="N141" s="17"/>
      <c r="O141" s="17"/>
      <c r="P141" s="18"/>
      <c r="Q141" s="18"/>
      <c r="R141" s="18"/>
      <c r="S141" s="18"/>
      <c r="T141" s="18"/>
      <c r="U141" s="19"/>
      <c r="V141" s="18"/>
      <c r="W141" s="18"/>
    </row>
    <row r="142" spans="1:23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6"/>
      <c r="M142" s="17"/>
      <c r="N142" s="17"/>
      <c r="O142" s="17"/>
      <c r="P142" s="18"/>
      <c r="Q142" s="18"/>
      <c r="R142" s="18"/>
      <c r="S142" s="18"/>
      <c r="T142" s="18"/>
      <c r="U142" s="19"/>
      <c r="V142" s="18"/>
      <c r="W142" s="18"/>
    </row>
    <row r="143" spans="1:23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6"/>
      <c r="M143" s="17"/>
      <c r="N143" s="17"/>
      <c r="O143" s="17"/>
      <c r="P143" s="18"/>
      <c r="Q143" s="18"/>
      <c r="R143" s="18"/>
      <c r="S143" s="18"/>
      <c r="T143" s="18"/>
      <c r="U143" s="19"/>
      <c r="V143" s="18"/>
      <c r="W143" s="18"/>
    </row>
    <row r="144" spans="1:23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6"/>
      <c r="M144" s="17"/>
      <c r="N144" s="17"/>
      <c r="O144" s="17"/>
      <c r="P144" s="18"/>
      <c r="Q144" s="18"/>
      <c r="R144" s="18"/>
      <c r="S144" s="18"/>
      <c r="T144" s="18"/>
      <c r="U144" s="19"/>
      <c r="V144" s="18"/>
      <c r="W144" s="18"/>
    </row>
    <row r="145" spans="1:23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6"/>
      <c r="M145" s="17"/>
      <c r="N145" s="17"/>
      <c r="O145" s="17"/>
      <c r="P145" s="18"/>
      <c r="Q145" s="18"/>
      <c r="R145" s="18"/>
      <c r="S145" s="18"/>
      <c r="T145" s="18"/>
      <c r="U145" s="19"/>
      <c r="V145" s="18"/>
      <c r="W145" s="18"/>
    </row>
    <row r="146" spans="1:23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6"/>
      <c r="M146" s="17"/>
      <c r="N146" s="17"/>
      <c r="O146" s="17"/>
      <c r="P146" s="18"/>
      <c r="Q146" s="18"/>
      <c r="R146" s="18"/>
      <c r="S146" s="18"/>
      <c r="T146" s="18"/>
      <c r="U146" s="19"/>
      <c r="V146" s="18"/>
      <c r="W146" s="18"/>
    </row>
    <row r="147" spans="1:23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6"/>
      <c r="M147" s="17"/>
      <c r="N147" s="17"/>
      <c r="O147" s="17"/>
      <c r="P147" s="18"/>
      <c r="Q147" s="18"/>
      <c r="R147" s="18"/>
      <c r="S147" s="18"/>
      <c r="T147" s="18"/>
      <c r="U147" s="19"/>
      <c r="V147" s="18"/>
      <c r="W147" s="18"/>
    </row>
    <row r="148" spans="1:23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6"/>
      <c r="M148" s="17"/>
      <c r="N148" s="17"/>
      <c r="O148" s="17"/>
      <c r="P148" s="18"/>
      <c r="Q148" s="18"/>
      <c r="R148" s="18"/>
      <c r="S148" s="18"/>
      <c r="T148" s="18"/>
      <c r="U148" s="19"/>
      <c r="V148" s="18"/>
      <c r="W148" s="18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843789-6ce0-4c67-8bf3-b5ed13cce4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B16406DF24E43A98D222CE34F1EF2" ma:contentTypeVersion="12" ma:contentTypeDescription="Create a new document." ma:contentTypeScope="" ma:versionID="c096b0cb6809c35262818d47acb86f92">
  <xsd:schema xmlns:xsd="http://www.w3.org/2001/XMLSchema" xmlns:xs="http://www.w3.org/2001/XMLSchema" xmlns:p="http://schemas.microsoft.com/office/2006/metadata/properties" xmlns:ns2="b2843789-6ce0-4c67-8bf3-b5ed13cce4b2" targetNamespace="http://schemas.microsoft.com/office/2006/metadata/properties" ma:root="true" ma:fieldsID="a513e3194161eb6bd4c9ae0bcc385172" ns2:_="">
    <xsd:import namespace="b2843789-6ce0-4c67-8bf3-b5ed13cce4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43789-6ce0-4c67-8bf3-b5ed13cce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6c98e9b-042d-48c3-b7c2-98407b15d1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0E192F-65F2-4B59-AEA2-95F93556C8D6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2843789-6ce0-4c67-8bf3-b5ed13cce4b2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E8CD45A-A0E8-4060-91AF-9B0DE1D865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33FA9C-1A73-4396-ABD7-EEEC25324A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843789-6ce0-4c67-8bf3-b5ed13cce4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IPM</vt:lpstr>
      <vt:lpstr>IPM23</vt:lpstr>
      <vt:lpstr>IPM24</vt:lpstr>
      <vt:lpstr>IPM25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Cerutti, Anderson Da Cruz</dc:creator>
  <cp:keywords/>
  <dc:description/>
  <cp:lastModifiedBy>Cerutti, Anderson Da Cruz</cp:lastModifiedBy>
  <cp:revision/>
  <dcterms:created xsi:type="dcterms:W3CDTF">2025-01-17T17:55:21Z</dcterms:created>
  <dcterms:modified xsi:type="dcterms:W3CDTF">2026-02-25T22:17:07Z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0x010100928B16406DF24E43A98D222CE34F1EF2</vt:lpwstr>
  </property>
  <property fmtid="{D5CDD505-2E9C-101B-9397-08002B2CF9AE}" pid="3" name="MediaServiceImageTags">
    <vt:lpwstr/>
  </property>
</Properties>
</file>